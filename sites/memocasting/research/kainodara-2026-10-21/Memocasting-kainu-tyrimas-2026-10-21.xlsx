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44185e41e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inodara" sheetId="1" r:id="R9beceafca14e40a0"/>
    <x:sheet xmlns:r="http://schemas.openxmlformats.org/officeDocument/2006/relationships" name="Konkurentai" sheetId="2" r:id="Rcef15846649940f9"/>
    <x:sheet xmlns:r="http://schemas.openxmlformats.org/officeDocument/2006/relationships" name="Renginių partneriai" sheetId="3" r:id="R744a76fe871e439b"/>
    <x:sheet xmlns:r="http://schemas.openxmlformats.org/officeDocument/2006/relationships" name="Sandėlis" sheetId="4" r:id="Rdc4d9868736c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(#,##0.00);&quot;–&quot;"/>
    <x:numFmt numFmtId="201" formatCode="0.0%;(0.0%);&quot;–&quot;"/>
    <x:numFmt numFmtId="202" formatCode="0.00&quot;x&quot;"/>
    <x:numFmt numFmtId="203" formatCode="yyyy-mm-dd"/>
    <x:numFmt numFmtId="204" formatCode="0.00000"/>
    <x:numFmt numFmtId="205" formatCode="#,##0"/>
    <x:numFmt numFmtId="206" formatCode="0.0000"/>
    <x:numFmt numFmtId="207" formatCode="0.00"/>
  </x:numFmts>
  <x:fonts count="7">
    <x:font>
      <x:sz val="11"/>
      <x:name val="Carlito"/>
    </x:font>
    <x:font>
      <x:sz val="11"/>
      <x:color rgb="FF272426"/>
      <x:name val="Arial"/>
    </x:font>
    <x:font>
      <x:b/>
      <x:sz val="16"/>
      <x:color rgb="FF272426"/>
      <x:name val="Arial"/>
    </x:font>
    <x:font>
      <x:b/>
      <x:sz val="11"/>
      <x:color rgb="FFFFFFFF"/>
      <x:name val="Arial"/>
    </x:font>
    <x:font>
      <x:sz val="11"/>
      <x:color rgb="FF655B60"/>
      <x:name val="Arial"/>
    </x:font>
    <x:font>
      <x:sz val="11"/>
      <x:color rgb="FF1555B3"/>
      <x:name val="Arial"/>
    </x:font>
    <x:font>
      <x:sz val="11"/>
      <x:color rgb="FF2070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9A4E68"/>
      </x:patternFill>
    </x:fill>
    <x:fill>
      <x:patternFill patternType="solid">
        <x:fgColor rgb="FFFFF0C2"/>
      </x:patternFill>
    </x:fill>
    <x:fill>
      <x:patternFill patternType="solid">
        <x:fgColor rgb="FFF3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82B3A"/>
      </x:font>
      <x:fill>
        <x:patternFill patternType="solid">
          <x:bgColor rgb="FFFCE4E8"/>
        </x:patternFill>
      </x:fill>
    </x:dxf>
    <x:dxf>
      <x:font>
        <x:b/>
        <x:color rgb="FF982B3A"/>
      </x:font>
      <x:fill>
        <x:patternFill patternType="solid">
          <x:bgColor rgb="FFFCE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bc9ae620843df" /><Relationship Type="http://schemas.openxmlformats.org/officeDocument/2006/relationships/theme" Target="/xl/theme/theme1.xml" Id="R8159fbedc0e74009" /><Relationship Type="http://schemas.openxmlformats.org/officeDocument/2006/relationships/sharedStrings" Target="/xl/sharedStrings.xml" Id="Rf94abe8379844b0d" /><Relationship Type="http://schemas.openxmlformats.org/officeDocument/2006/relationships/worksheet" Target="/xl/worksheets/sheet1.xml" Id="R9beceafca14e40a0" /><Relationship Type="http://schemas.openxmlformats.org/officeDocument/2006/relationships/worksheet" Target="/xl/worksheets/sheet2.xml" Id="Rcef15846649940f9" /><Relationship Type="http://schemas.openxmlformats.org/officeDocument/2006/relationships/worksheet" Target="/xl/worksheets/sheet3.xml" Id="R744a76fe871e439b" /><Relationship Type="http://schemas.openxmlformats.org/officeDocument/2006/relationships/worksheet" Target="/xl/worksheets/sheet4.xml" Id="Rdc4d9868736c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4E6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33" hidden="0" customWidth="1"/>
    <x:col min="12" max="12" width="33" hidden="0" customWidth="1"/>
  </x:cols>
  <x:sheetData>
    <x:row r="2" ht="32" customHeight="1">
      <x:c r="C2" s="3" t="str">
        <x:v>Memocasting kainų tyrimas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C3" s="2" t="str">
        <x:v>2026-10-21. Pinigai eurais. Mėlyna – keičiamos prielaidos.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32" customHeight="1">
      <x:c r="C4" s="2"/>
      <x:c r="D4" s="2"/>
      <x:c r="E4" s="2"/>
      <x:c r="F4" s="3" t="str">
        <x:v>Siūlomos testuoti kainos</x:v>
      </x:c>
      <x:c r="G4" s="2"/>
      <x:c r="H4" s="2"/>
      <x:c r="I4" s="2"/>
      <x:c r="J4" s="2"/>
      <x:c r="K4" s="2"/>
      <x:c r="L4" s="2"/>
    </x:row>
    <x:row r="5" ht="36" customHeight="1">
      <x:c r="C5" s="2" t="str">
        <x:v>Poros pilna savikaina</x:v>
      </x:c>
      <x:c r="D5" s="10" t="n">
        <x:v>10</x:v>
      </x:c>
      <x:c r="E5" s="2"/>
      <x:c r="F5" s="6" t="str">
        <x:v>Rinkinys</x:v>
      </x:c>
      <x:c r="G5" s="6" t="str">
        <x:v>Lietuva</x:v>
      </x:c>
      <x:c r="H5" s="6" t="str">
        <x:v>ES partnerių kanalas</x:v>
      </x:c>
      <x:c r="I5" s="2"/>
      <x:c r="J5" s="2"/>
      <x:c r="K5" s="2"/>
      <x:c r="L5" s="2"/>
    </x:row>
    <x:row r="6" ht="24" customHeight="1">
      <x:c r="C6" s="2" t="str">
        <x:v>Šeimos medžiagos ir pakuotė</x:v>
      </x:c>
      <x:c r="D6" s="7" t="n">
        <x:f>H120</x:f>
        <x:v>15.6</x:v>
      </x:c>
      <x:c r="E6" s="2"/>
      <x:c r="F6" s="2" t="str">
        <x:v>Poros</x:v>
      </x:c>
      <x:c r="G6" s="7" t="n">
        <x:v>39.9</x:v>
      </x:c>
      <x:c r="H6" s="7" t="n">
        <x:v>44.9</x:v>
      </x:c>
      <x:c r="I6" s="2"/>
      <x:c r="J6" s="2"/>
      <x:c r="K6" s="2"/>
      <x:c r="L6" s="2"/>
    </x:row>
    <x:row r="7" ht="24" customHeight="1">
      <x:c r="C7" s="2" t="str">
        <x:v>Šeimos darbas (prielaida)</x:v>
      </x:c>
      <x:c r="D7" s="12" t="n">
        <x:v>2</x:v>
      </x:c>
      <x:c r="E7" s="2"/>
      <x:c r="F7" s="2" t="str">
        <x:v>Šeimos</x:v>
      </x:c>
      <x:c r="G7" s="7" t="n">
        <x:v>54.9</x:v>
      </x:c>
      <x:c r="H7" s="7" t="n">
        <x:v>59.9</x:v>
      </x:c>
      <x:c r="I7" s="2"/>
      <x:c r="J7" s="2"/>
      <x:c r="K7" s="2"/>
      <x:c r="L7" s="2"/>
    </x:row>
    <x:row r="8" ht="24" customHeight="1">
      <x:c r="C8" s="2" t="str">
        <x:v>Šeimos ekonominė savikaina</x:v>
      </x:c>
      <x:c r="D8" s="7" t="n">
        <x:f>SUM(D6:D7)</x:f>
        <x:v>17.6</x:v>
      </x:c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C9" s="2" t="str">
        <x:v>Modelio PVM tarifas</x:v>
      </x:c>
      <x:c r="D9" s="11" t="n">
        <x:v>0.21</x:v>
      </x:c>
      <x:c r="E9" s="2"/>
      <x:c r="F9" s="8" t="str">
        <x:v>Kainos – hipotezės bandymui, ne išmatuota pirkėjų mokėjimo riba.</x:v>
      </x:c>
      <x:c r="G9" s="8"/>
      <x:c r="H9" s="8"/>
      <x:c r="I9" s="8"/>
      <x:c r="J9" s="8"/>
      <x:c r="K9" s="8"/>
      <x:c r="L9" s="8"/>
    </x:row>
    <x:row r="10" ht="24" customHeight="1">
      <x:c r="C10" s="2" t="str">
        <x:v>Stripe kintamas mokestis</x:v>
      </x:c>
      <x:c r="D10" s="11" t="n">
        <x:v>0.015</x:v>
      </x:c>
      <x:c r="E10" s="2"/>
      <x:c r="F10" s="8" t="str">
        <x:v>Vienoje rinkoje suderinti savo ir partnerių kanalų pasiūlymą.</x:v>
      </x:c>
      <x:c r="G10" s="8"/>
      <x:c r="H10" s="8"/>
      <x:c r="I10" s="8"/>
      <x:c r="J10" s="8"/>
      <x:c r="K10" s="8"/>
      <x:c r="L10" s="8"/>
    </x:row>
    <x:row r="11" ht="24" customHeight="1">
      <x:c r="C11" s="2" t="str">
        <x:v>Stripe fiksuotas mokestis</x:v>
      </x:c>
      <x:c r="D11" s="10" t="n">
        <x:v>0.25</x:v>
      </x:c>
      <x:c r="E11" s="2"/>
      <x:c r="F11" s="8" t="str">
        <x:v>Siuntimo subsidija = vežėjo sąnaudos minus neto įplaukos už siuntimą.</x:v>
      </x:c>
      <x:c r="G11" s="8"/>
      <x:c r="H11" s="8"/>
      <x:c r="I11" s="8"/>
      <x:c r="J11" s="8"/>
      <x:c r="K11" s="8"/>
      <x:c r="L11" s="8"/>
    </x:row>
    <x:row r="12" ht="24" customHeight="1">
      <x:c r="C12" s="2" t="str">
        <x:v>Broko / grąžinimų rezervas nuo neto</x:v>
      </x:c>
      <x:c r="D12" s="11" t="n">
        <x:v>0.03</x:v>
      </x:c>
      <x:c r="E12" s="2"/>
      <x:c r="F12" s="8" t="str">
        <x:v>Rezultatas – padengimo suma, ne galutinis įmonės pelnas.</x:v>
      </x:c>
      <x:c r="G12" s="8"/>
      <x:c r="H12" s="8"/>
      <x:c r="I12" s="8"/>
      <x:c r="J12" s="8"/>
      <x:c r="K12" s="8"/>
      <x:c r="L12" s="8"/>
    </x:row>
    <x:row r="13" ht="24" customHeight="1">
      <x:c r="C13" s="2" t="str">
        <x:v>Vieno užsakymo reklama (CAC)</x:v>
      </x:c>
      <x:c r="D13" s="12" t="n">
        <x:v>10</x:v>
      </x:c>
      <x:c r="E13" s="2"/>
      <x:c r="F13" s="8" t="str">
        <x:v>Neįtraukti pelno mokesčiai, pastovios sąnaudos, svetainių ir EPR biudžetai.</x:v>
      </x:c>
      <x:c r="G13" s="8"/>
      <x:c r="H13" s="8"/>
      <x:c r="I13" s="8"/>
      <x:c r="J13" s="8"/>
      <x:c r="K13" s="8"/>
      <x:c r="L13" s="8"/>
    </x:row>
    <x:row r="14" ht="24" customHeight="1">
      <x:c r="C14" s="2" t="str">
        <x:v>Grynoji siuntimo subsidija</x:v>
      </x:c>
      <x:c r="D14" s="12" t="n">
        <x:v>0</x:v>
      </x:c>
      <x:c r="E14" s="2"/>
      <x:c r="F14" s="8" t="str">
        <x:v>Šeimos darbas 2 EUR – planavimo prielaida, ne savininko įvardyta sąnauda.</x:v>
      </x:c>
      <x:c r="G14" s="8"/>
      <x:c r="H14" s="8"/>
      <x:c r="I14" s="8"/>
      <x:c r="J14" s="8"/>
      <x:c r="K14" s="8"/>
      <x:c r="L14" s="8"/>
    </x:row>
    <x:row r="15" ht="24" customHeight="1">
      <x:c r="C15" s="2" t="str">
        <x:v>B2B rezervas vienam rinkiniui</x:v>
      </x:c>
      <x:c r="D15" s="12" t="n">
        <x:v>1</x:v>
      </x:c>
      <x:c r="E15" s="2"/>
      <x:c r="F15" s="8" t="str">
        <x:v>Dabartinės LT parduotuvės 32 / 48 EUR kainos nepakeistos.</x:v>
      </x:c>
      <x:c r="G15" s="8"/>
      <x:c r="H15" s="8"/>
      <x:c r="I15" s="8"/>
      <x:c r="J15" s="8"/>
      <x:c r="K15" s="8"/>
      <x:c r="L15" s="8"/>
    </x:row>
    <x:row r="16" ht="24" customHeight="1">
      <x:c r="C16" s="2" t="str">
        <x:v>Parduotuvės įvežimo kaštai / vnt.</x:v>
      </x:c>
      <x:c r="D16" s="12" t="n">
        <x:v>1.5</x:v>
      </x:c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C17" s="2" t="str">
        <x:v>Mažmenininko maržos tikslas</x:v>
      </x:c>
      <x:c r="D17" s="11" t="n">
        <x:v>0.45</x:v>
      </x:c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C18" s="2" t="str">
        <x:v>Distributoriaus bendros maržos tikslas</x:v>
      </x:c>
      <x:c r="D18" s="11" t="n">
        <x:v>0.25</x:v>
      </x:c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2" customHeight="1">
      <x:c r="C21" s="3" t="str">
        <x:v>Poros rinkinys: vieno užsakymo ekonomika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6" customHeight="1">
      <x:c r="C22" s="6" t="str">
        <x:v>Kaina pirkėjui</x:v>
      </x:c>
      <x:c r="D22" s="14" t="n">
        <x:v>32</x:v>
      </x:c>
      <x:c r="E22" s="14" t="n">
        <x:v>34.9</x:v>
      </x:c>
      <x:c r="F22" s="14" t="n">
        <x:v>39.9</x:v>
      </x:c>
      <x:c r="G22" s="14" t="n">
        <x:v>44.9</x:v>
      </x:c>
      <x:c r="H22" s="14" t="n">
        <x:v>49.9</x:v>
      </x:c>
      <x:c r="I22" s="14" t="n">
        <x:v>54.9</x:v>
      </x:c>
      <x:c r="J22" s="2"/>
      <x:c r="K22" s="2"/>
      <x:c r="L22" s="2"/>
    </x:row>
    <x:row r="23" ht="24" customHeight="1">
      <x:c r="C23" s="2" t="str">
        <x:v>Pajamos be PVM</x:v>
      </x:c>
      <x:c r="D23" s="7" t="n">
        <x:f>D22/(1+$D$9)</x:f>
        <x:v>26.446280991735538</x:v>
      </x:c>
      <x:c r="E23" s="7" t="n">
        <x:f>E22/(1+$D$9)</x:f>
        <x:v>28.84297520661157</x:v>
      </x:c>
      <x:c r="F23" s="7" t="n">
        <x:f>F22/(1+$D$9)</x:f>
        <x:v>32.97520661157025</x:v>
      </x:c>
      <x:c r="G23" s="7" t="n">
        <x:f>G22/(1+$D$9)</x:f>
        <x:v>37.107438016528924</x:v>
      </x:c>
      <x:c r="H23" s="7" t="n">
        <x:f>H22/(1+$D$9)</x:f>
        <x:v>41.239669421487605</x:v>
      </x:c>
      <x:c r="I23" s="7" t="n">
        <x:f>I22/(1+$D$9)</x:f>
        <x:v>45.37190082644628</x:v>
      </x:c>
      <x:c r="J23" s="2"/>
      <x:c r="K23" s="2"/>
      <x:c r="L23" s="2"/>
    </x:row>
    <x:row r="24" ht="24" customHeight="1">
      <x:c r="C24" s="2" t="str">
        <x:v>Savikaina</x:v>
      </x:c>
      <x:c r="D24" s="7" t="n">
        <x:f>$D$5</x:f>
        <x:v>10</x:v>
      </x:c>
      <x:c r="E24" s="7" t="n">
        <x:f>$D$5</x:f>
        <x:v>10</x:v>
      </x:c>
      <x:c r="F24" s="7" t="n">
        <x:f>$D$5</x:f>
        <x:v>10</x:v>
      </x:c>
      <x:c r="G24" s="7" t="n">
        <x:f>$D$5</x:f>
        <x:v>10</x:v>
      </x:c>
      <x:c r="H24" s="7" t="n">
        <x:f>$D$5</x:f>
        <x:v>10</x:v>
      </x:c>
      <x:c r="I24" s="7" t="n">
        <x:f>$D$5</x:f>
        <x:v>10</x:v>
      </x:c>
      <x:c r="J24" s="2"/>
      <x:c r="K24" s="2"/>
      <x:c r="L24" s="2"/>
    </x:row>
    <x:row r="25" ht="24" customHeight="1">
      <x:c r="C25" s="2" t="str">
        <x:v>Mokėjimo mokestis</x:v>
      </x:c>
      <x:c r="D25" s="7" t="n">
        <x:f>D22*$D$10+$D$11</x:f>
        <x:v>0.73</x:v>
      </x:c>
      <x:c r="E25" s="7" t="n">
        <x:f>E22*$D$10+$D$11</x:f>
        <x:v>0.7735</x:v>
      </x:c>
      <x:c r="F25" s="7" t="n">
        <x:f>F22*$D$10+$D$11</x:f>
        <x:v>0.8484999999999999</x:v>
      </x:c>
      <x:c r="G25" s="7" t="n">
        <x:f>G22*$D$10+$D$11</x:f>
        <x:v>0.9235</x:v>
      </x:c>
      <x:c r="H25" s="7" t="n">
        <x:f>H22*$D$10+$D$11</x:f>
        <x:v>0.9984999999999999</x:v>
      </x:c>
      <x:c r="I25" s="7" t="n">
        <x:f>I22*$D$10+$D$11</x:f>
        <x:v>1.0735</x:v>
      </x:c>
      <x:c r="J25" s="2"/>
      <x:c r="K25" s="2"/>
      <x:c r="L25" s="2"/>
    </x:row>
    <x:row r="26" ht="24" customHeight="1">
      <x:c r="C26" s="2" t="str">
        <x:v>Broko / grąžinimų rezervas</x:v>
      </x:c>
      <x:c r="D26" s="7" t="n">
        <x:f>D23*$D$12</x:f>
        <x:v>0.7933884297520661</x:v>
      </x:c>
      <x:c r="E26" s="7" t="n">
        <x:f>E23*$D$12</x:f>
        <x:v>0.8652892561983471</x:v>
      </x:c>
      <x:c r="F26" s="7" t="n">
        <x:f>F23*$D$12</x:f>
        <x:v>0.9892561983471074</x:v>
      </x:c>
      <x:c r="G26" s="7" t="n">
        <x:f>G23*$D$12</x:f>
        <x:v>1.1132231404958677</x:v>
      </x:c>
      <x:c r="H26" s="7" t="n">
        <x:f>H23*$D$12</x:f>
        <x:v>1.237190082644628</x:v>
      </x:c>
      <x:c r="I26" s="7" t="n">
        <x:f>I23*$D$12</x:f>
        <x:v>1.3611570247933884</x:v>
      </x:c>
      <x:c r="J26" s="2"/>
      <x:c r="K26" s="2"/>
      <x:c r="L26" s="2"/>
    </x:row>
    <x:row r="27" ht="24" customHeight="1">
      <x:c r="C27" s="2" t="str">
        <x:v>Likutis prieš reklamą ir siuntimą</x:v>
      </x:c>
      <x:c r="D27" s="7" t="n">
        <x:f>D23-SUM(D24:D26)</x:f>
        <x:v>14.92289256198347</x:v>
      </x:c>
      <x:c r="E27" s="7" t="n">
        <x:f>E23-SUM(E24:E26)</x:f>
        <x:v>17.204185950413223</x:v>
      </x:c>
      <x:c r="F27" s="7" t="n">
        <x:f>F23-SUM(F24:F26)</x:f>
        <x:v>21.137450413223142</x:v>
      </x:c>
      <x:c r="G27" s="7" t="n">
        <x:f>G23-SUM(G24:G26)</x:f>
        <x:v>25.07071487603306</x:v>
      </x:c>
      <x:c r="H27" s="7" t="n">
        <x:f>H23-SUM(H24:H26)</x:f>
        <x:v>29.003979338842978</x:v>
      </x:c>
      <x:c r="I27" s="7" t="n">
        <x:f>I23-SUM(I24:I26)</x:f>
        <x:v>32.93724380165289</x:v>
      </x:c>
      <x:c r="J27" s="2"/>
      <x:c r="K27" s="2"/>
      <x:c r="L27" s="2"/>
    </x:row>
    <x:row r="28" ht="24" customHeight="1">
      <x:c r="C28" s="2" t="str">
        <x:v>Reklama (CAC)</x:v>
      </x:c>
      <x:c r="D28" s="7" t="n">
        <x:f>$D$13</x:f>
        <x:v>10</x:v>
      </x:c>
      <x:c r="E28" s="7" t="n">
        <x:f>$D$13</x:f>
        <x:v>10</x:v>
      </x:c>
      <x:c r="F28" s="7" t="n">
        <x:f>$D$13</x:f>
        <x:v>10</x:v>
      </x:c>
      <x:c r="G28" s="7" t="n">
        <x:f>$D$13</x:f>
        <x:v>10</x:v>
      </x:c>
      <x:c r="H28" s="7" t="n">
        <x:f>$D$13</x:f>
        <x:v>10</x:v>
      </x:c>
      <x:c r="I28" s="7" t="n">
        <x:f>$D$13</x:f>
        <x:v>10</x:v>
      </x:c>
      <x:c r="J28" s="2"/>
      <x:c r="K28" s="2"/>
      <x:c r="L28" s="2"/>
    </x:row>
    <x:row r="29" ht="24" customHeight="1">
      <x:c r="C29" s="2" t="str">
        <x:v>Siuntimo subsidija</x:v>
      </x:c>
      <x:c r="D29" s="7" t="n">
        <x:f>$D$14</x:f>
        <x:v>0</x:v>
      </x:c>
      <x:c r="E29" s="7" t="n">
        <x:f>$D$14</x:f>
        <x:v>0</x:v>
      </x:c>
      <x:c r="F29" s="7" t="n">
        <x:f>$D$14</x:f>
        <x:v>0</x:v>
      </x:c>
      <x:c r="G29" s="7" t="n">
        <x:f>$D$14</x:f>
        <x:v>0</x:v>
      </x:c>
      <x:c r="H29" s="7" t="n">
        <x:f>$D$14</x:f>
        <x:v>0</x:v>
      </x:c>
      <x:c r="I29" s="7" t="n">
        <x:f>$D$14</x:f>
        <x:v>0</x:v>
      </x:c>
      <x:c r="J29" s="2"/>
      <x:c r="K29" s="2"/>
      <x:c r="L29" s="2"/>
    </x:row>
    <x:row r="30" ht="24" customHeight="1">
      <x:c r="C30" s="16" t="str">
        <x:v>Likutis po kintamų sąnaudų</x:v>
      </x:c>
      <x:c r="D30" s="17" t="n">
        <x:f>D27-SUM(D28:D29)</x:f>
        <x:v>4.9228925619834705</x:v>
      </x:c>
      <x:c r="E30" s="17" t="n">
        <x:f>E27-SUM(E28:E29)</x:f>
        <x:v>7.204185950413223</x:v>
      </x:c>
      <x:c r="F30" s="17" t="n">
        <x:f>F27-SUM(F28:F29)</x:f>
        <x:v>11.137450413223142</x:v>
      </x:c>
      <x:c r="G30" s="17" t="n">
        <x:f>G27-SUM(G28:G29)</x:f>
        <x:v>15.070714876033058</x:v>
      </x:c>
      <x:c r="H30" s="17" t="n">
        <x:f>H27-SUM(H28:H29)</x:f>
        <x:v>19.003979338842978</x:v>
      </x:c>
      <x:c r="I30" s="17" t="n">
        <x:f>I27-SUM(I28:I29)</x:f>
        <x:v>22.93724380165289</x:v>
      </x:c>
      <x:c r="J30" s="2"/>
      <x:c r="K30" s="2"/>
      <x:c r="L30" s="2"/>
    </x:row>
    <x:row r="31" ht="24" customHeight="1">
      <x:c r="C31" s="2" t="str">
        <x:v>Jei papildomai dengiama 5 EUR siuntimo</x:v>
      </x:c>
      <x:c r="D31" s="7" t="n">
        <x:f>D30-5</x:f>
        <x:v>-0.07710743801652953</x:v>
      </x:c>
      <x:c r="E31" s="7" t="n">
        <x:f>E30-5</x:f>
        <x:v>2.2041859504132226</x:v>
      </x:c>
      <x:c r="F31" s="7" t="n">
        <x:f>F30-5</x:f>
        <x:v>6.137450413223142</x:v>
      </x:c>
      <x:c r="G31" s="7" t="n">
        <x:f>G30-5</x:f>
        <x:v>10.070714876033058</x:v>
      </x:c>
      <x:c r="H31" s="7" t="n">
        <x:f>H30-5</x:f>
        <x:v>14.003979338842978</x:v>
      </x:c>
      <x:c r="I31" s="7" t="n">
        <x:f>I30-5</x:f>
        <x:v>17.93724380165289</x:v>
      </x:c>
      <x:c r="J31" s="2"/>
      <x:c r="K31" s="2"/>
      <x:c r="L31" s="2"/>
    </x:row>
    <x:row r="32" ht="24" customHeight="1">
      <x:c r="C32" s="2" t="str">
        <x:v>Didžiausias CAC, norint palikti 10 EUR</x:v>
      </x:c>
      <x:c r="D32" s="7" t="n">
        <x:f>D27-D29-10</x:f>
        <x:v>4.9228925619834705</x:v>
      </x:c>
      <x:c r="E32" s="7" t="n">
        <x:f>E27-E29-10</x:f>
        <x:v>7.204185950413223</x:v>
      </x:c>
      <x:c r="F32" s="7" t="n">
        <x:f>F27-F29-10</x:f>
        <x:v>11.137450413223142</x:v>
      </x:c>
      <x:c r="G32" s="7" t="n">
        <x:f>G27-G29-10</x:f>
        <x:v>15.070714876033058</x:v>
      </x:c>
      <x:c r="H32" s="7" t="n">
        <x:f>H27-H29-10</x:f>
        <x:v>19.003979338842978</x:v>
      </x:c>
      <x:c r="I32" s="7" t="n">
        <x:f>I27-I29-10</x:f>
        <x:v>22.93724380165289</x:v>
      </x:c>
      <x:c r="J32" s="2"/>
      <x:c r="K32" s="2"/>
      <x:c r="L32" s="2"/>
    </x:row>
    <x:row r="33" ht="24" customHeight="1">
      <x:c r="C33" s="2" t="str">
        <x:v>Atsipirkimo ROAS (produktui)</x:v>
      </x:c>
      <x:c r="D33" s="15" t="n">
        <x:f>D22/(D27-D29)</x:f>
        <x:v>2.1443563884873758</x:v>
      </x:c>
      <x:c r="E33" s="15" t="n">
        <x:f>E22/(E27-E29)</x:f>
        <x:v>2.028576074485044</x:v>
      </x:c>
      <x:c r="F33" s="15" t="n">
        <x:f>F22/(F27-F29)</x:f>
        <x:v>1.8876448776925054</x:v>
      </x:c>
      <x:c r="G33" s="15" t="n">
        <x:f>G22/(G27-G29)</x:f>
        <x:v>1.790934172480387</x:v>
      </x:c>
      <x:c r="H33" s="15" t="n">
        <x:f>H22/(H27-H29)</x:f>
        <x:v>1.7204535769742622</x:v>
      </x:c>
      <x:c r="I33" s="15" t="n">
        <x:f>I22/(I27-I29)</x:f>
        <x:v>1.6668061338285067</x:v>
      </x:c>
      <x:c r="J33" s="2"/>
      <x:c r="K33" s="2"/>
      <x:c r="L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32" customHeight="1">
      <x:c r="C38" s="3" t="str">
        <x:v>Šeimos rinkinys: vieno užsakymo ekonomika</x:v>
      </x:c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36" customHeight="1">
      <x:c r="C39" s="6" t="str">
        <x:v>Kaina pirkėjui</x:v>
      </x:c>
      <x:c r="D39" s="14" t="n">
        <x:v>44.9</x:v>
      </x:c>
      <x:c r="E39" s="14" t="n">
        <x:v>48</x:v>
      </x:c>
      <x:c r="F39" s="14" t="n">
        <x:v>49.9</x:v>
      </x:c>
      <x:c r="G39" s="14" t="n">
        <x:v>54.9</x:v>
      </x:c>
      <x:c r="H39" s="14" t="n">
        <x:v>59.9</x:v>
      </x:c>
      <x:c r="I39" s="14" t="n">
        <x:v>64.9</x:v>
      </x:c>
      <x:c r="J39" s="2"/>
      <x:c r="K39" s="2"/>
      <x:c r="L39" s="2"/>
    </x:row>
    <x:row r="40" ht="24" customHeight="1">
      <x:c r="C40" s="2" t="str">
        <x:v>Pajamos be PVM</x:v>
      </x:c>
      <x:c r="D40" s="7" t="n">
        <x:f>D39/(1+$D$9)</x:f>
        <x:v>37.107438016528924</x:v>
      </x:c>
      <x:c r="E40" s="7" t="n">
        <x:f>E39/(1+$D$9)</x:f>
        <x:v>39.66942148760331</x:v>
      </x:c>
      <x:c r="F40" s="7" t="n">
        <x:f>F39/(1+$D$9)</x:f>
        <x:v>41.239669421487605</x:v>
      </x:c>
      <x:c r="G40" s="7" t="n">
        <x:f>G39/(1+$D$9)</x:f>
        <x:v>45.37190082644628</x:v>
      </x:c>
      <x:c r="H40" s="7" t="n">
        <x:f>H39/(1+$D$9)</x:f>
        <x:v>49.50413223140496</x:v>
      </x:c>
      <x:c r="I40" s="7" t="n">
        <x:f>I39/(1+$D$9)</x:f>
        <x:v>53.63636363636364</x:v>
      </x:c>
      <x:c r="J40" s="2"/>
      <x:c r="K40" s="2"/>
      <x:c r="L40" s="2"/>
    </x:row>
    <x:row r="41" ht="24" customHeight="1">
      <x:c r="C41" s="2" t="str">
        <x:v>Savikaina</x:v>
      </x:c>
      <x:c r="D41" s="7" t="n">
        <x:f>$D$8</x:f>
        <x:v>17.6</x:v>
      </x:c>
      <x:c r="E41" s="7" t="n">
        <x:f>$D$8</x:f>
        <x:v>17.6</x:v>
      </x:c>
      <x:c r="F41" s="7" t="n">
        <x:f>$D$8</x:f>
        <x:v>17.6</x:v>
      </x:c>
      <x:c r="G41" s="7" t="n">
        <x:f>$D$8</x:f>
        <x:v>17.6</x:v>
      </x:c>
      <x:c r="H41" s="7" t="n">
        <x:f>$D$8</x:f>
        <x:v>17.6</x:v>
      </x:c>
      <x:c r="I41" s="7" t="n">
        <x:f>$D$8</x:f>
        <x:v>17.6</x:v>
      </x:c>
      <x:c r="J41" s="2"/>
      <x:c r="K41" s="2"/>
      <x:c r="L41" s="2"/>
    </x:row>
    <x:row r="42" ht="24" customHeight="1">
      <x:c r="C42" s="2" t="str">
        <x:v>Mokėjimo mokestis</x:v>
      </x:c>
      <x:c r="D42" s="7" t="n">
        <x:f>D39*$D$10+$D$11</x:f>
        <x:v>0.9235</x:v>
      </x:c>
      <x:c r="E42" s="7" t="n">
        <x:f>E39*$D$10+$D$11</x:f>
        <x:v>0.97</x:v>
      </x:c>
      <x:c r="F42" s="7" t="n">
        <x:f>F39*$D$10+$D$11</x:f>
        <x:v>0.9984999999999999</x:v>
      </x:c>
      <x:c r="G42" s="7" t="n">
        <x:f>G39*$D$10+$D$11</x:f>
        <x:v>1.0735</x:v>
      </x:c>
      <x:c r="H42" s="7" t="n">
        <x:f>H39*$D$10+$D$11</x:f>
        <x:v>1.1484999999999999</x:v>
      </x:c>
      <x:c r="I42" s="7" t="n">
        <x:f>I39*$D$10+$D$11</x:f>
        <x:v>1.2235</x:v>
      </x:c>
      <x:c r="J42" s="2"/>
      <x:c r="K42" s="2"/>
      <x:c r="L42" s="2"/>
    </x:row>
    <x:row r="43" ht="24" customHeight="1">
      <x:c r="C43" s="2" t="str">
        <x:v>Broko / grąžinimų rezervas</x:v>
      </x:c>
      <x:c r="D43" s="7" t="n">
        <x:f>D40*$D$12</x:f>
        <x:v>1.1132231404958677</x:v>
      </x:c>
      <x:c r="E43" s="7" t="n">
        <x:f>E40*$D$12</x:f>
        <x:v>1.1900826446280992</x:v>
      </x:c>
      <x:c r="F43" s="7" t="n">
        <x:f>F40*$D$12</x:f>
        <x:v>1.237190082644628</x:v>
      </x:c>
      <x:c r="G43" s="7" t="n">
        <x:f>G40*$D$12</x:f>
        <x:v>1.3611570247933884</x:v>
      </x:c>
      <x:c r="H43" s="7" t="n">
        <x:f>H40*$D$12</x:f>
        <x:v>1.4851239669421488</x:v>
      </x:c>
      <x:c r="I43" s="7" t="n">
        <x:f>I40*$D$12</x:f>
        <x:v>1.6090909090909091</x:v>
      </x:c>
      <x:c r="J43" s="2"/>
      <x:c r="K43" s="2"/>
      <x:c r="L43" s="2"/>
    </x:row>
    <x:row r="44" ht="24" customHeight="1">
      <x:c r="C44" s="2" t="str">
        <x:v>Likutis prieš reklamą ir siuntimą</x:v>
      </x:c>
      <x:c r="D44" s="7" t="n">
        <x:f>D40-SUM(D41:D43)</x:f>
        <x:v>17.470714876033053</x:v>
      </x:c>
      <x:c r="E44" s="7" t="n">
        <x:f>E40-SUM(E41:E43)</x:f>
        <x:v>19.90933884297521</x:v>
      </x:c>
      <x:c r="F44" s="7" t="n">
        <x:f>F40-SUM(F41:F43)</x:f>
        <x:v>21.403979338842976</x:v>
      </x:c>
      <x:c r="G44" s="7" t="n">
        <x:f>G40-SUM(G41:G43)</x:f>
        <x:v>25.33724380165289</x:v>
      </x:c>
      <x:c r="H44" s="7" t="n">
        <x:f>H40-SUM(H41:H43)</x:f>
        <x:v>29.270508264462812</x:v>
      </x:c>
      <x:c r="I44" s="7" t="n">
        <x:f>I40-SUM(I41:I43)</x:f>
        <x:v>33.20377272727273</x:v>
      </x:c>
      <x:c r="J44" s="2"/>
      <x:c r="K44" s="2"/>
      <x:c r="L44" s="2"/>
    </x:row>
    <x:row r="45" ht="24" customHeight="1">
      <x:c r="C45" s="2" t="str">
        <x:v>Reklama (CAC)</x:v>
      </x:c>
      <x:c r="D45" s="7" t="n">
        <x:f>$D$13</x:f>
        <x:v>10</x:v>
      </x:c>
      <x:c r="E45" s="7" t="n">
        <x:f>$D$13</x:f>
        <x:v>10</x:v>
      </x:c>
      <x:c r="F45" s="7" t="n">
        <x:f>$D$13</x:f>
        <x:v>10</x:v>
      </x:c>
      <x:c r="G45" s="7" t="n">
        <x:f>$D$13</x:f>
        <x:v>10</x:v>
      </x:c>
      <x:c r="H45" s="7" t="n">
        <x:f>$D$13</x:f>
        <x:v>10</x:v>
      </x:c>
      <x:c r="I45" s="7" t="n">
        <x:f>$D$13</x:f>
        <x:v>10</x:v>
      </x:c>
      <x:c r="J45" s="2"/>
      <x:c r="K45" s="2"/>
      <x:c r="L45" s="2"/>
    </x:row>
    <x:row r="46" ht="24" customHeight="1">
      <x:c r="C46" s="2" t="str">
        <x:v>Siuntimo subsidija</x:v>
      </x:c>
      <x:c r="D46" s="7" t="n">
        <x:f>$D$14</x:f>
        <x:v>0</x:v>
      </x:c>
      <x:c r="E46" s="7" t="n">
        <x:f>$D$14</x:f>
        <x:v>0</x:v>
      </x:c>
      <x:c r="F46" s="7" t="n">
        <x:f>$D$14</x:f>
        <x:v>0</x:v>
      </x:c>
      <x:c r="G46" s="7" t="n">
        <x:f>$D$14</x:f>
        <x:v>0</x:v>
      </x:c>
      <x:c r="H46" s="7" t="n">
        <x:f>$D$14</x:f>
        <x:v>0</x:v>
      </x:c>
      <x:c r="I46" s="7" t="n">
        <x:f>$D$14</x:f>
        <x:v>0</x:v>
      </x:c>
      <x:c r="J46" s="2"/>
      <x:c r="K46" s="2"/>
      <x:c r="L46" s="2"/>
    </x:row>
    <x:row r="47" ht="24" customHeight="1">
      <x:c r="C47" s="16" t="str">
        <x:v>Likutis po kintamų sąnaudų</x:v>
      </x:c>
      <x:c r="D47" s="17" t="n">
        <x:f>D44-SUM(D45:D46)</x:f>
        <x:v>7.470714876033053</x:v>
      </x:c>
      <x:c r="E47" s="17" t="n">
        <x:f>E44-SUM(E45:E46)</x:f>
        <x:v>9.90933884297521</x:v>
      </x:c>
      <x:c r="F47" s="17" t="n">
        <x:f>F44-SUM(F45:F46)</x:f>
        <x:v>11.403979338842976</x:v>
      </x:c>
      <x:c r="G47" s="17" t="n">
        <x:f>G44-SUM(G45:G46)</x:f>
        <x:v>15.337243801652889</x:v>
      </x:c>
      <x:c r="H47" s="17" t="n">
        <x:f>H44-SUM(H45:H46)</x:f>
        <x:v>19.270508264462812</x:v>
      </x:c>
      <x:c r="I47" s="17" t="n">
        <x:f>I44-SUM(I45:I46)</x:f>
        <x:v>23.203772727272728</x:v>
      </x:c>
      <x:c r="J47" s="2"/>
      <x:c r="K47" s="2"/>
      <x:c r="L47" s="2"/>
    </x:row>
    <x:row r="48" ht="24" customHeight="1">
      <x:c r="C48" s="2" t="str">
        <x:v>Jei papildomai dengiama 5 EUR siuntimo</x:v>
      </x:c>
      <x:c r="D48" s="7" t="n">
        <x:f>D47-5</x:f>
        <x:v>2.4707148760330533</x:v>
      </x:c>
      <x:c r="E48" s="7" t="n">
        <x:f>E47-5</x:f>
        <x:v>4.90933884297521</x:v>
      </x:c>
      <x:c r="F48" s="7" t="n">
        <x:f>F47-5</x:f>
        <x:v>6.403979338842976</x:v>
      </x:c>
      <x:c r="G48" s="7" t="n">
        <x:f>G47-5</x:f>
        <x:v>10.337243801652889</x:v>
      </x:c>
      <x:c r="H48" s="7" t="n">
        <x:f>H47-5</x:f>
        <x:v>14.270508264462812</x:v>
      </x:c>
      <x:c r="I48" s="7" t="n">
        <x:f>I47-5</x:f>
        <x:v>18.203772727272728</x:v>
      </x:c>
      <x:c r="J48" s="2"/>
      <x:c r="K48" s="2"/>
      <x:c r="L48" s="2"/>
    </x:row>
    <x:row r="49" ht="24" customHeight="1">
      <x:c r="C49" s="2" t="str">
        <x:v>Didžiausias CAC, norint palikti 10 EUR</x:v>
      </x:c>
      <x:c r="D49" s="7" t="n">
        <x:f>D44-D46-10</x:f>
        <x:v>7.470714876033053</x:v>
      </x:c>
      <x:c r="E49" s="7" t="n">
        <x:f>E44-E46-10</x:f>
        <x:v>9.90933884297521</x:v>
      </x:c>
      <x:c r="F49" s="7" t="n">
        <x:f>F44-F46-10</x:f>
        <x:v>11.403979338842976</x:v>
      </x:c>
      <x:c r="G49" s="7" t="n">
        <x:f>G44-G46-10</x:f>
        <x:v>15.337243801652889</x:v>
      </x:c>
      <x:c r="H49" s="7" t="n">
        <x:f>H44-H46-10</x:f>
        <x:v>19.270508264462812</x:v>
      </x:c>
      <x:c r="I49" s="7" t="n">
        <x:f>I44-I46-10</x:f>
        <x:v>23.203772727272728</x:v>
      </x:c>
      <x:c r="J49" s="2"/>
      <x:c r="K49" s="2"/>
      <x:c r="L49" s="2"/>
    </x:row>
    <x:row r="50" ht="24" customHeight="1">
      <x:c r="C50" s="2" t="str">
        <x:v>Atsipirkimo ROAS (produktui)</x:v>
      </x:c>
      <x:c r="D50" s="15" t="n">
        <x:f>D39/(D44-D46)</x:f>
        <x:v>2.570015040517627</x:v>
      </x:c>
      <x:c r="E50" s="15" t="n">
        <x:f>E39/(E44-E46)</x:f>
        <x:v>2.410928880088666</x:v>
      </x:c>
      <x:c r="F50" s="15" t="n">
        <x:f>F39/(F44-F46)</x:f>
        <x:v>2.331342186891562</x:v>
      </x:c>
      <x:c r="G50" s="15" t="n">
        <x:f>G39/(G44-G46)</x:f>
        <x:v>2.1667707991355623</x:v>
      </x:c>
      <x:c r="H50" s="15" t="n">
        <x:f>H39/(H44-H46)</x:f>
        <x:v>2.0464284206750283</x:v>
      </x:c>
      <x:c r="I50" s="15" t="n">
        <x:f>I39/(I44-I46)</x:f>
        <x:v>1.9545971637943662</x:v>
      </x:c>
      <x:c r="J50" s="2"/>
      <x:c r="K50" s="2"/>
      <x:c r="L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C53" s="2" t="str">
        <x:v>Šeimos medžiagos: 2 × 6 + 2 × 1 + 1 + 0,30 + 0,10 + 0,10 + 0,10 = 15,60 EUR.</x:v>
      </x:c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C54" s="2" t="str">
        <x:v>Darbo prielaidą D7 galima keisti į 0, norint matyti tik savininko pinigines išlaidas.</x:v>
      </x:c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32" customHeight="1">
      <x:c r="C57" s="3" t="str">
        <x:v>Didmena tiesiogiai parduotuvei</x:v>
      </x:c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36" customHeight="1">
      <x:c r="C58" s="6" t="str">
        <x:v>Kiekis / sąlyga</x:v>
      </x:c>
      <x:c r="D58" s="6" t="str">
        <x:v>Poros kaina</x:v>
      </x:c>
      <x:c r="E58" s="6" t="str">
        <x:v>Tavo likutis</x:v>
      </x:c>
      <x:c r="F58" s="6" t="str">
        <x:v>Tavo marža</x:v>
      </x:c>
      <x:c r="G58" s="6" t="str">
        <x:v>Šeimos kaina</x:v>
      </x:c>
      <x:c r="H58" s="6" t="str">
        <x:v>Tavo likutis</x:v>
      </x:c>
      <x:c r="I58" s="6" t="str">
        <x:v>Tavo marža</x:v>
      </x:c>
      <x:c r="J58" s="6" t="str">
        <x:v>Poros pard. marža</x:v>
      </x:c>
      <x:c r="K58" s="6" t="str">
        <x:v>Šeimos pard. marža</x:v>
      </x:c>
      <x:c r="L58" s="2"/>
    </x:row>
    <x:row r="59" ht="24" customHeight="1">
      <x:c r="C59" s="2" t="str">
        <x:v>20–49 vnt.</x:v>
      </x:c>
      <x:c r="D59" s="10" t="n">
        <x:v>18</x:v>
      </x:c>
      <x:c r="E59" s="7" t="n">
        <x:f>D59-$D$5-$D$15</x:f>
        <x:v>7</x:v>
      </x:c>
      <x:c r="F59" s="18" t="n">
        <x:f>E59/D59</x:f>
        <x:v>0.3888888888888889</x:v>
      </x:c>
      <x:c r="G59" s="10" t="n">
        <x:v>27</x:v>
      </x:c>
      <x:c r="H59" s="7" t="n">
        <x:f>G59-$D$8-$D$15</x:f>
        <x:v>8.399999999999999</x:v>
      </x:c>
      <x:c r="I59" s="18" t="n">
        <x:f>H59/G59</x:f>
        <x:v>0.31111111111111106</x:v>
      </x:c>
      <x:c r="J59" s="18" t="n">
        <x:f>($H$6/(1+$D$9)-D59-$D$16)/($H$6/(1+$D$9))</x:f>
        <x:v>0.47449888641425386</x:v>
      </x:c>
      <x:c r="K59" s="18" t="n">
        <x:f>($H$7/(1+$D$9)-G59-$D$16)/($H$7/(1+$D$9))</x:f>
        <x:v>0.42429048414023374</x:v>
      </x:c>
      <x:c r="L59" s="2"/>
    </x:row>
    <x:row r="60" ht="24" customHeight="1">
      <x:c r="C60" s="2" t="str">
        <x:v>50–99 vnt.</x:v>
      </x:c>
      <x:c r="D60" s="10" t="n">
        <x:v>17</x:v>
      </x:c>
      <x:c r="E60" s="7" t="n">
        <x:f>D60-$D$5-$D$15</x:f>
        <x:v>6</x:v>
      </x:c>
      <x:c r="F60" s="18" t="n">
        <x:f>E60/D60</x:f>
        <x:v>0.35294117647058826</x:v>
      </x:c>
      <x:c r="G60" s="10" t="n">
        <x:v>26</x:v>
      </x:c>
      <x:c r="H60" s="7" t="n">
        <x:f>G60-$D$8-$D$15</x:f>
        <x:v>7.399999999999999</x:v>
      </x:c>
      <x:c r="I60" s="18" t="n">
        <x:f>H60/G60</x:f>
        <x:v>0.28461538461538455</x:v>
      </x:c>
      <x:c r="J60" s="18" t="n">
        <x:f>($H$6/(1+$D$9)-D60-$D$16)/($H$6/(1+$D$9))</x:f>
        <x:v>0.5014476614699331</x:v>
      </x:c>
      <x:c r="K60" s="18" t="n">
        <x:f>($H$7/(1+$D$9)-G60-$D$16)/($H$7/(1+$D$9))</x:f>
        <x:v>0.4444908180300501</x:v>
      </x:c>
      <x:c r="L60" s="2"/>
    </x:row>
    <x:row r="61" ht="24" customHeight="1">
      <x:c r="C61" s="2" t="str">
        <x:v>100+ vnt.</x:v>
      </x:c>
      <x:c r="D61" s="10" t="n">
        <x:v>16</x:v>
      </x:c>
      <x:c r="E61" s="7" t="n">
        <x:f>D61-$D$5-$D$15</x:f>
        <x:v>5</x:v>
      </x:c>
      <x:c r="F61" s="18" t="n">
        <x:f>E61/D61</x:f>
        <x:v>0.3125</x:v>
      </x:c>
      <x:c r="G61" s="10" t="n">
        <x:v>25</x:v>
      </x:c>
      <x:c r="H61" s="7" t="n">
        <x:f>G61-$D$8-$D$15</x:f>
        <x:v>6.399999999999999</x:v>
      </x:c>
      <x:c r="I61" s="18" t="n">
        <x:f>H61/G61</x:f>
        <x:v>0.25599999999999995</x:v>
      </x:c>
      <x:c r="J61" s="18" t="n">
        <x:f>($H$6/(1+$D$9)-D61-$D$16)/($H$6/(1+$D$9))</x:f>
        <x:v>0.5283964365256124</x:v>
      </x:c>
      <x:c r="K61" s="18" t="n">
        <x:f>($H$7/(1+$D$9)-G61-$D$16)/($H$7/(1+$D$9))</x:f>
        <x:v>0.46469115191986643</x:v>
      </x:c>
      <x:c r="L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C63" s="2" t="str">
        <x:v>B2B kainos yra prekių vertė prieš taikytiną PVM. Transportas ir speciali lokalizacija atskirai.</x:v>
      </x:c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C64" s="2" t="str">
        <x:v>Kiekio pakopos – pasiūlymo projektas. Gamybos pajėgumas ir vežėjo įkainiai nepatvirtinti.</x:v>
      </x:c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32" customHeight="1">
      <x:c r="C68" s="3" t="str">
        <x:v>Du tarpininkai: tikrinama visa kainų grandinė</x:v>
      </x:c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36" customHeight="1">
      <x:c r="C69" s="6" t="str">
        <x:v>Rodiklis</x:v>
      </x:c>
      <x:c r="D69" s="6" t="str">
        <x:v>Poros</x:v>
      </x:c>
      <x:c r="E69" s="6" t="str">
        <x:v>Šeimos</x:v>
      </x:c>
      <x:c r="F69" s="2"/>
      <x:c r="G69" s="2"/>
      <x:c r="H69" s="2"/>
      <x:c r="I69" s="2"/>
      <x:c r="J69" s="2"/>
      <x:c r="K69" s="2"/>
      <x:c r="L69" s="2"/>
    </x:row>
    <x:row r="70" ht="40" customHeight="1">
      <x:c r="C70" s="2" t="str">
        <x:v>Mažmeninė kaina pirkėjui</x:v>
      </x:c>
      <x:c r="D70" s="10" t="n">
        <x:v>44.9</x:v>
      </x:c>
      <x:c r="E70" s="10" t="n">
        <x:v>69.9</x:v>
      </x:c>
      <x:c r="F70" s="2"/>
      <x:c r="G70" s="19" t="str">
        <x:v>69,90 EUR šeimos rinkiniui – skaičiavimo bandymas, ne patvirtinta rinkos kaina.</x:v>
      </x:c>
      <x:c r="H70" s="19"/>
      <x:c r="I70" s="19"/>
      <x:c r="J70" s="19"/>
      <x:c r="K70" s="19"/>
      <x:c r="L70" s="19"/>
    </x:row>
    <x:row r="71" ht="40" customHeight="1">
      <x:c r="C71" s="2" t="str">
        <x:v>Pajamos mažmenininkui be PVM</x:v>
      </x:c>
      <x:c r="D71" s="7" t="n">
        <x:f>D70/(1+$D$9)</x:f>
        <x:v>37.107438016528924</x:v>
      </x:c>
      <x:c r="E71" s="7" t="n">
        <x:f>E70/(1+$D$9)</x:f>
        <x:v>57.76859504132232</x:v>
      </x:c>
      <x:c r="F71" s="2"/>
      <x:c r="G71" s="19" t="str">
        <x:v>Šeimos rinkiniui du tarpininkai palieka mažiau vietos tavo pelnui.</x:v>
      </x:c>
      <x:c r="H71" s="19"/>
      <x:c r="I71" s="19"/>
      <x:c r="J71" s="19"/>
      <x:c r="K71" s="19"/>
      <x:c r="L71" s="19"/>
    </x:row>
    <x:row r="72" ht="40" customHeight="1">
      <x:c r="C72" s="2" t="str">
        <x:v>Distributoriaus pardavimo kaina parduotuvei</x:v>
      </x:c>
      <x:c r="D72" s="10" t="n">
        <x:v>20</x:v>
      </x:c>
      <x:c r="E72" s="10" t="n">
        <x:v>30</x:v>
      </x:c>
      <x:c r="F72" s="2"/>
      <x:c r="G72" s="19" t="str">
        <x:v>Pirma siūloma tiesioginė prekyba parduotuvėms; nacionalinį distributorių tikrinti atskirai.</x:v>
      </x:c>
      <x:c r="H72" s="19"/>
      <x:c r="I72" s="19"/>
      <x:c r="J72" s="19"/>
      <x:c r="K72" s="19"/>
      <x:c r="L72" s="19"/>
    </x:row>
    <x:row r="73" ht="24" customHeight="1">
      <x:c r="C73" s="2" t="str">
        <x:v>Parduotuvės įvežimo sąnaudos</x:v>
      </x:c>
      <x:c r="D73" s="10" t="n">
        <x:v>1.5</x:v>
      </x:c>
      <x:c r="E73" s="10" t="n">
        <x:v>2.5</x:v>
      </x:c>
      <x:c r="F73" s="2"/>
      <x:c r="G73" s="2"/>
      <x:c r="H73" s="2"/>
      <x:c r="I73" s="2"/>
      <x:c r="J73" s="2"/>
      <x:c r="K73" s="2"/>
      <x:c r="L73" s="2"/>
    </x:row>
    <x:row r="74" ht="40" customHeight="1">
      <x:c r="C74" s="2" t="str">
        <x:v>Parduotuvės marža po įvežimo</x:v>
      </x:c>
      <x:c r="D74" s="18" t="n">
        <x:f>(D71-D72-D73)/D71</x:f>
        <x:v>0.4206013363028953</x:v>
      </x:c>
      <x:c r="E74" s="18" t="n">
        <x:f>(E71-E72-E73)/E71</x:f>
        <x:v>0.43741058655221754</x:v>
      </x:c>
      <x:c r="F74" s="2"/>
      <x:c r="G74" s="19" t="str">
        <x:v>Marža skaičiuojama nuo pardavimo pajamų, ne nuo savikainos.</x:v>
      </x:c>
      <x:c r="H74" s="19"/>
      <x:c r="I74" s="19"/>
      <x:c r="J74" s="19"/>
      <x:c r="K74" s="19"/>
      <x:c r="L74" s="19"/>
    </x:row>
    <x:row r="75" ht="40" customHeight="1">
      <x:c r="C75" s="2" t="str">
        <x:v>Tavo kaina distributoriui</x:v>
      </x:c>
      <x:c r="D75" s="10" t="n">
        <x:v>15</x:v>
      </x:c>
      <x:c r="E75" s="10" t="n">
        <x:v>22.5</x:v>
      </x:c>
      <x:c r="F75" s="2"/>
      <x:c r="G75" s="19" t="str">
        <x:v>Savo bei partnerio siuntimo išlaidos nėra patikrintos vežėjo kainos.</x:v>
      </x:c>
      <x:c r="H75" s="19"/>
      <x:c r="I75" s="19"/>
      <x:c r="J75" s="19"/>
      <x:c r="K75" s="19"/>
      <x:c r="L75" s="19"/>
    </x:row>
    <x:row r="76" ht="24" customHeight="1">
      <x:c r="C76" s="2" t="str">
        <x:v>Distributoriaus aptarnavimo sąnaudos</x:v>
      </x:c>
      <x:c r="D76" s="10" t="n">
        <x:v>1</x:v>
      </x:c>
      <x:c r="E76" s="10" t="n">
        <x:v>2</x:v>
      </x:c>
      <x:c r="F76" s="2"/>
      <x:c r="G76" s="2"/>
      <x:c r="H76" s="2"/>
      <x:c r="I76" s="2"/>
      <x:c r="J76" s="2"/>
      <x:c r="K76" s="2"/>
      <x:c r="L76" s="2"/>
    </x:row>
    <x:row r="77" ht="24" customHeight="1">
      <x:c r="C77" s="2" t="str">
        <x:v>Distributoriaus likutis</x:v>
      </x:c>
      <x:c r="D77" s="7" t="n">
        <x:f>D72-D75-D76</x:f>
        <x:v>4</x:v>
      </x:c>
      <x:c r="E77" s="7" t="n">
        <x:f>E72-E75-E76</x:f>
        <x:v>5.5</x:v>
      </x:c>
      <x:c r="F77" s="2"/>
      <x:c r="G77" s="2"/>
      <x:c r="H77" s="2"/>
      <x:c r="I77" s="2"/>
      <x:c r="J77" s="2"/>
      <x:c r="K77" s="2"/>
      <x:c r="L77" s="2"/>
    </x:row>
    <x:row r="78" ht="24" customHeight="1">
      <x:c r="C78" s="2" t="str">
        <x:v>Distributoriaus marža po sąnaudų</x:v>
      </x:c>
      <x:c r="D78" s="18" t="n">
        <x:f>D77/D72</x:f>
        <x:v>0.2</x:v>
      </x:c>
      <x:c r="E78" s="18" t="n">
        <x:f>E77/E72</x:f>
        <x:v>0.18333333333333332</x:v>
      </x:c>
      <x:c r="F78" s="2"/>
      <x:c r="G78" s="2"/>
      <x:c r="H78" s="2"/>
      <x:c r="I78" s="2"/>
      <x:c r="J78" s="2"/>
      <x:c r="K78" s="2"/>
      <x:c r="L78" s="2"/>
    </x:row>
    <x:row r="79" ht="24" customHeight="1">
      <x:c r="C79" s="2" t="str">
        <x:v>Tavo likutis</x:v>
      </x:c>
      <x:c r="D79" s="7" t="n">
        <x:f>D75-$D$5-$D$15</x:f>
        <x:v>4</x:v>
      </x:c>
      <x:c r="E79" s="7" t="n">
        <x:f>E75-$D$8-$D$15</x:f>
        <x:v>3.8999999999999986</x:v>
      </x:c>
      <x:c r="F79" s="2"/>
      <x:c r="G79" s="2"/>
      <x:c r="H79" s="2"/>
      <x:c r="I79" s="2"/>
      <x:c r="J79" s="2"/>
      <x:c r="K79" s="2"/>
      <x:c r="L79" s="2"/>
    </x:row>
    <x:row r="80" ht="24" customHeight="1">
      <x:c r="C80" s="2" t="str">
        <x:v>Tavo marža po rezervo</x:v>
      </x:c>
      <x:c r="D80" s="18" t="n">
        <x:f>D79/D75</x:f>
        <x:v>0.26666666666666666</x:v>
      </x:c>
      <x:c r="E80" s="18" t="n">
        <x:f>E79/E75</x:f>
        <x:v>0.17333333333333328</x:v>
      </x:c>
      <x:c r="F80" s="2"/>
      <x:c r="G80" s="2"/>
      <x:c r="H80" s="2"/>
      <x:c r="I80" s="2"/>
      <x:c r="J80" s="2"/>
      <x:c r="K80" s="2"/>
      <x:c r="L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35" customHeight="1">
      <x:c r="C82" s="19" t="str">
        <x:v>Pard. didž. pirkimas pagal maržos tikslą</x:v>
      </x:c>
      <x:c r="D82" s="7" t="n">
        <x:f>D71*(1-$D$17)-D73</x:f>
        <x:v>18.90909090909091</x:v>
      </x:c>
      <x:c r="E82" s="7" t="n">
        <x:f>E71*(1-$D$17)-E73</x:f>
        <x:v>29.27272727272728</x:v>
      </x:c>
      <x:c r="F82" s="2"/>
      <x:c r="G82" s="2"/>
      <x:c r="H82" s="2"/>
      <x:c r="I82" s="2"/>
      <x:c r="J82" s="2"/>
      <x:c r="K82" s="2"/>
      <x:c r="L82" s="2"/>
    </x:row>
    <x:row r="83" ht="35" customHeight="1">
      <x:c r="C83" s="19" t="str">
        <x:v>Distrib. didž. pirkimas prieš aptarnavimą</x:v>
      </x:c>
      <x:c r="D83" s="7" t="n">
        <x:f>D72*(1-$D$18)</x:f>
        <x:v>15</x:v>
      </x:c>
      <x:c r="E83" s="7" t="n">
        <x:f>E72*(1-$D$18)</x:f>
        <x:v>22.5</x:v>
      </x:c>
      <x:c r="F83" s="2"/>
      <x:c r="G83" s="2"/>
      <x:c r="H83" s="2"/>
      <x:c r="I83" s="2"/>
      <x:c r="J83" s="2"/>
      <x:c r="K83" s="2"/>
      <x:c r="L83" s="2"/>
    </x:row>
    <x:row r="84" ht="32" customHeight="1">
      <x:c r="C84" s="3" t="str">
        <x:v>Rinkų kainų bandymai</x:v>
      </x:c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36" customHeight="1">
      <x:c r="C85" s="6" t="str">
        <x:v>Rinka</x:v>
      </x:c>
      <x:c r="D85" s="6" t="str">
        <x:v>PVM</x:v>
      </x:c>
      <x:c r="E85" s="6" t="str">
        <x:v>Valiuta</x:v>
      </x:c>
      <x:c r="F85" s="6" t="str">
        <x:v>Poros nuo</x:v>
      </x:c>
      <x:c r="G85" s="6" t="str">
        <x:v>Poros iki</x:v>
      </x:c>
      <x:c r="H85" s="6" t="str">
        <x:v>Šeimos nuo</x:v>
      </x:c>
      <x:c r="I85" s="6" t="str">
        <x:v>Šeimos iki</x:v>
      </x:c>
      <x:c r="J85" s="2"/>
      <x:c r="K85" s="2"/>
      <x:c r="L85" s="2"/>
    </x:row>
    <x:row r="86" ht="24" customHeight="1">
      <x:c r="C86" s="2" t="str">
        <x:v>LT</x:v>
      </x:c>
      <x:c r="D86" s="18" t="n">
        <x:v>0.21</x:v>
      </x:c>
      <x:c r="E86" s="2" t="str">
        <x:v>EUR</x:v>
      </x:c>
      <x:c r="F86" s="7" t="n">
        <x:v>34.9</x:v>
      </x:c>
      <x:c r="G86" s="7" t="n">
        <x:v>39.9</x:v>
      </x:c>
      <x:c r="H86" s="7" t="n">
        <x:v>49.9</x:v>
      </x:c>
      <x:c r="I86" s="7" t="n">
        <x:v>54.9</x:v>
      </x:c>
      <x:c r="J86" s="2"/>
      <x:c r="K86" s="2"/>
      <x:c r="L86" s="2"/>
    </x:row>
    <x:row r="87" ht="24" customHeight="1">
      <x:c r="C87" s="2" t="str">
        <x:v>DE</x:v>
      </x:c>
      <x:c r="D87" s="18" t="n">
        <x:v>0.19</x:v>
      </x:c>
      <x:c r="E87" s="2" t="str">
        <x:v>EUR</x:v>
      </x:c>
      <x:c r="F87" s="7" t="n">
        <x:v>39.9</x:v>
      </x:c>
      <x:c r="G87" s="7" t="n">
        <x:v>44.9</x:v>
      </x:c>
      <x:c r="H87" s="7" t="n">
        <x:v>54.9</x:v>
      </x:c>
      <x:c r="I87" s="7" t="n">
        <x:v>59.9</x:v>
      </x:c>
      <x:c r="J87" s="2"/>
      <x:c r="K87" s="2"/>
      <x:c r="L87" s="2"/>
    </x:row>
    <x:row r="88" ht="24" customHeight="1">
      <x:c r="C88" s="2" t="str">
        <x:v>FR</x:v>
      </x:c>
      <x:c r="D88" s="18" t="n">
        <x:v>0.2</x:v>
      </x:c>
      <x:c r="E88" s="2" t="str">
        <x:v>EUR</x:v>
      </x:c>
      <x:c r="F88" s="7" t="n">
        <x:v>39.9</x:v>
      </x:c>
      <x:c r="G88" s="7" t="n">
        <x:v>44.9</x:v>
      </x:c>
      <x:c r="H88" s="7" t="n">
        <x:v>54.9</x:v>
      </x:c>
      <x:c r="I88" s="7" t="n">
        <x:v>59.9</x:v>
      </x:c>
      <x:c r="J88" s="2"/>
      <x:c r="K88" s="2"/>
      <x:c r="L88" s="2"/>
    </x:row>
    <x:row r="89" ht="24" customHeight="1">
      <x:c r="C89" s="2" t="str">
        <x:v>NL</x:v>
      </x:c>
      <x:c r="D89" s="18" t="n">
        <x:v>0.21</x:v>
      </x:c>
      <x:c r="E89" s="2" t="str">
        <x:v>EUR</x:v>
      </x:c>
      <x:c r="F89" s="7" t="n">
        <x:v>39.9</x:v>
      </x:c>
      <x:c r="G89" s="7" t="n">
        <x:v>44.9</x:v>
      </x:c>
      <x:c r="H89" s="7" t="n">
        <x:v>54.9</x:v>
      </x:c>
      <x:c r="I89" s="7" t="n">
        <x:v>59.9</x:v>
      </x:c>
      <x:c r="J89" s="2"/>
      <x:c r="K89" s="2"/>
      <x:c r="L89" s="2"/>
    </x:row>
    <x:row r="90" ht="24" customHeight="1">
      <x:c r="C90" s="2" t="str">
        <x:v>PL</x:v>
      </x:c>
      <x:c r="D90" s="18" t="n">
        <x:v>0.23</x:v>
      </x:c>
      <x:c r="E90" s="2" t="str">
        <x:v>PLN</x:v>
      </x:c>
      <x:c r="F90" s="7" t="n">
        <x:v>169</x:v>
      </x:c>
      <x:c r="G90" s="7" t="n">
        <x:v>189</x:v>
      </x:c>
      <x:c r="H90" s="7" t="n">
        <x:v>249</x:v>
      </x:c>
      <x:c r="I90" s="7" t="n">
        <x:v>269</x:v>
      </x:c>
      <x:c r="J90" s="2"/>
      <x:c r="K90" s="2"/>
      <x:c r="L90" s="2"/>
    </x:row>
    <x:row r="91" ht="24" customHeight="1">
      <x:c r="C91" s="2" t="str">
        <x:v>IT</x:v>
      </x:c>
      <x:c r="D91" s="18" t="n">
        <x:v>0.22</x:v>
      </x:c>
      <x:c r="E91" s="2" t="str">
        <x:v>EUR</x:v>
      </x:c>
      <x:c r="F91" s="7" t="n">
        <x:v>34.9</x:v>
      </x:c>
      <x:c r="G91" s="7" t="n">
        <x:v>39.9</x:v>
      </x:c>
      <x:c r="H91" s="7" t="n">
        <x:v>49.9</x:v>
      </x:c>
      <x:c r="I91" s="7" t="n">
        <x:v>54.9</x:v>
      </x:c>
      <x:c r="J91" s="2"/>
      <x:c r="K91" s="2"/>
      <x:c r="L91" s="2"/>
    </x:row>
    <x:row r="92" ht="24" customHeight="1">
      <x:c r="C92" s="2" t="str">
        <x:v>ES</x:v>
      </x:c>
      <x:c r="D92" s="18" t="n">
        <x:v>0.21</x:v>
      </x:c>
      <x:c r="E92" s="2" t="str">
        <x:v>EUR</x:v>
      </x:c>
      <x:c r="F92" s="7" t="n">
        <x:v>34.9</x:v>
      </x:c>
      <x:c r="G92" s="7" t="n">
        <x:v>39.9</x:v>
      </x:c>
      <x:c r="H92" s="7" t="n">
        <x:v>49.9</x:v>
      </x:c>
      <x:c r="I92" s="7" t="n">
        <x:v>54.9</x:v>
      </x:c>
      <x:c r="J92" s="2"/>
      <x:c r="K92" s="2"/>
      <x:c r="L92" s="2"/>
    </x:row>
    <x:row r="93" ht="24" customHeight="1">
      <x:c r="C93" s="2" t="str">
        <x:v>LV</x:v>
      </x:c>
      <x:c r="D93" s="18" t="n">
        <x:v>0.21</x:v>
      </x:c>
      <x:c r="E93" s="2" t="str">
        <x:v>EUR</x:v>
      </x:c>
      <x:c r="F93" s="7" t="n">
        <x:v>34.9</x:v>
      </x:c>
      <x:c r="G93" s="7" t="n">
        <x:v>39.9</x:v>
      </x:c>
      <x:c r="H93" s="7" t="n">
        <x:v>49.9</x:v>
      </x:c>
      <x:c r="I93" s="7" t="n">
        <x:v>54.9</x:v>
      </x:c>
      <x:c r="J93" s="2"/>
      <x:c r="K93" s="2"/>
      <x:c r="L93" s="2"/>
    </x:row>
    <x:row r="94" ht="24" customHeight="1">
      <x:c r="C94" s="2" t="str">
        <x:v>EE</x:v>
      </x:c>
      <x:c r="D94" s="18" t="n">
        <x:v>0.24</x:v>
      </x:c>
      <x:c r="E94" s="2" t="str">
        <x:v>EUR</x:v>
      </x:c>
      <x:c r="F94" s="7" t="n">
        <x:v>34.9</x:v>
      </x:c>
      <x:c r="G94" s="7" t="n">
        <x:v>39.9</x:v>
      </x:c>
      <x:c r="H94" s="7" t="n">
        <x:v>49.9</x:v>
      </x:c>
      <x:c r="I94" s="7" t="n">
        <x:v>54.9</x:v>
      </x:c>
      <x:c r="J94" s="2"/>
      <x:c r="K94" s="2"/>
      <x:c r="L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4" customHeight="1">
      <x:c r="C96" s="2" t="str">
        <x:v>Intervalai – siūlomi bandymai, ne visų šalies parduotuvių kainų vidurkiai.</x:v>
      </x:c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4" customHeight="1">
      <x:c r="C97" s="2" t="str">
        <x:v>LV / EE palyginamų vietinių rinkinių įrodymų mažai. Intervalai paremti ekonomika ir kitų rinkų pasiūlymais.</x:v>
      </x:c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4" customHeight="1">
      <x:c r="C98" s="2" t="str">
        <x:v>PVM lentelė taikoma augimo modeliui. Dabartinis MB ne PVM mokėtojo statusas automatiškai nekeičiamas.</x:v>
      </x:c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4" customHeight="1">
      <x:c r="C100" s="2" t="str">
        <x:v>Šaltiniai ir prielaidos</x:v>
      </x:c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4" customHeight="1">
      <x:c r="C101" s="2" t="str">
        <x:v>10 EUR poros savikaina: savininko patvirtinimas šiame pokalbyje 2026-10-21.</x:v>
      </x:c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4" customHeight="1">
      <x:c r="C102" s="2" t="str">
        <x:v>Šeimos pakeliai po 2; dažai apie 0,10 EUR; darbas savininko dar neskaičiuotas.</x:v>
      </x:c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4" customHeight="1">
      <x:c r="C103" s="2" t="str">
        <x:v>PVM: https://europa.eu/youreurope/business/finance-and-tax/vat/vat-rules-rates/index_en.htm</x:v>
      </x:c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4" customHeight="1">
      <x:c r="C104" s="2" t="str">
        <x:v>Mokėjimai: https://stripe.com/en-lt/pricing/local-payment-methods (1,5 % + 0,25 EUR standartinėms EEE kortelėms).</x:v>
      </x:c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4" customHeight="1">
      <x:c r="C105" s="2" t="str">
        <x:v>Kitoms kortelėms / metodams ir valiutų konvertavimui gali būti kiti mokesčiai.</x:v>
      </x:c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4" customHeight="1">
      <x:c r="C106" s="2" t="str">
        <x:v>CAC, rezervai, įvežimo bei darbo sąnaudos – aiškiai keičiamos prielaidos.</x:v>
      </x:c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4" customHeight="1">
      <x:c r="C107" s="2" t="str">
        <x:v>Modelis neišmatuoja paklausos, konversijos ar rinkos dydžio. Pristatymo į kiekvieną šalį pasiūlymai negauti.</x:v>
      </x:c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4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4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32" customHeight="1">
      <x:c r="C110" s="3" t="str">
        <x:v>Medžiagų skaičiavimas pagal savininko kainas</x:v>
      </x:c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36" customHeight="1">
      <x:c r="C111" s="6" t="str">
        <x:v>Komponentas</x:v>
      </x:c>
      <x:c r="D111" s="6" t="str">
        <x:v>Vieneto kaina</x:v>
      </x:c>
      <x:c r="E111" s="6" t="str">
        <x:v>Poros kiekis</x:v>
      </x:c>
      <x:c r="F111" s="6" t="str">
        <x:v>Šeimos kiekis</x:v>
      </x:c>
      <x:c r="G111" s="6" t="str">
        <x:v>Poros suma</x:v>
      </x:c>
      <x:c r="H111" s="6" t="str">
        <x:v>Šeimos suma</x:v>
      </x:c>
      <x:c r="I111" s="2"/>
      <x:c r="J111" s="2"/>
      <x:c r="K111" s="2"/>
      <x:c r="L111" s="2"/>
    </x:row>
    <x:row r="112" ht="24" customHeight="1">
      <x:c r="C112" s="2" t="str">
        <x:v>Alginato pakelis</x:v>
      </x:c>
      <x:c r="D112" s="10" t="n">
        <x:v>6</x:v>
      </x:c>
      <x:c r="E112" s="9" t="n">
        <x:v>1</x:v>
      </x:c>
      <x:c r="F112" s="9" t="n">
        <x:v>2</x:v>
      </x:c>
      <x:c r="G112" s="7" t="n">
        <x:f>D112*E112</x:f>
        <x:v>6</x:v>
      </x:c>
      <x:c r="H112" s="7" t="n">
        <x:f>D112*F112</x:f>
        <x:v>12</x:v>
      </x:c>
      <x:c r="I112" s="2"/>
      <x:c r="J112" s="2"/>
      <x:c r="K112" s="2"/>
      <x:c r="L112" s="2"/>
    </x:row>
    <x:row r="113" ht="24" customHeight="1">
      <x:c r="C113" s="2" t="str">
        <x:v>Gipso pakelis</x:v>
      </x:c>
      <x:c r="D113" s="10" t="n">
        <x:v>1</x:v>
      </x:c>
      <x:c r="E113" s="9" t="n">
        <x:v>1</x:v>
      </x:c>
      <x:c r="F113" s="9" t="n">
        <x:v>2</x:v>
      </x:c>
      <x:c r="G113" s="7" t="n">
        <x:f>D113*E113</x:f>
        <x:v>1</x:v>
      </x:c>
      <x:c r="H113" s="7" t="n">
        <x:f>D113*F113</x:f>
        <x:v>2</x:v>
      </x:c>
      <x:c r="I113" s="2"/>
      <x:c r="J113" s="2"/>
      <x:c r="K113" s="2"/>
      <x:c r="L113" s="2"/>
    </x:row>
    <x:row r="114" ht="24" customHeight="1">
      <x:c r="C114" s="2" t="str">
        <x:v>Kibiras</x:v>
      </x:c>
      <x:c r="D114" s="10" t="n">
        <x:v>1</x:v>
      </x:c>
      <x:c r="E114" s="9" t="n">
        <x:v>1</x:v>
      </x:c>
      <x:c r="F114" s="9" t="n">
        <x:v>1</x:v>
      </x:c>
      <x:c r="G114" s="7" t="n">
        <x:f>D114*E114</x:f>
        <x:v>1</x:v>
      </x:c>
      <x:c r="H114" s="7" t="n">
        <x:f>D114*F114</x:f>
        <x:v>1</x:v>
      </x:c>
      <x:c r="I114" s="2"/>
      <x:c r="J114" s="2"/>
      <x:c r="K114" s="2"/>
      <x:c r="L114" s="2"/>
    </x:row>
    <x:row r="115" ht="24" customHeight="1">
      <x:c r="C115" s="2" t="str">
        <x:v>Dėžė</x:v>
      </x:c>
      <x:c r="D115" s="10" t="n">
        <x:v>0.3</x:v>
      </x:c>
      <x:c r="E115" s="9" t="n">
        <x:v>1</x:v>
      </x:c>
      <x:c r="F115" s="9" t="n">
        <x:v>1</x:v>
      </x:c>
      <x:c r="G115" s="7" t="n">
        <x:f>D115*E115</x:f>
        <x:v>0.3</x:v>
      </x:c>
      <x:c r="H115" s="7" t="n">
        <x:f>D115*F115</x:f>
        <x:v>0.3</x:v>
      </x:c>
      <x:c r="I115" s="2"/>
      <x:c r="J115" s="2"/>
      <x:c r="K115" s="2"/>
      <x:c r="L115" s="2"/>
    </x:row>
    <x:row r="116" ht="24" customHeight="1">
      <x:c r="C116" s="2" t="str">
        <x:v>Įrankiai</x:v>
      </x:c>
      <x:c r="D116" s="10" t="n">
        <x:v>0.1</x:v>
      </x:c>
      <x:c r="E116" s="9" t="n">
        <x:v>1</x:v>
      </x:c>
      <x:c r="F116" s="9" t="n">
        <x:v>1</x:v>
      </x:c>
      <x:c r="G116" s="7" t="n">
        <x:f>D116*E116</x:f>
        <x:v>0.1</x:v>
      </x:c>
      <x:c r="H116" s="7" t="n">
        <x:f>D116*F116</x:f>
        <x:v>0.1</x:v>
      </x:c>
      <x:c r="I116" s="2"/>
      <x:c r="J116" s="2"/>
      <x:c r="K116" s="2"/>
      <x:c r="L116" s="2"/>
    </x:row>
    <x:row r="117" ht="24" customHeight="1">
      <x:c r="C117" s="2" t="str">
        <x:v>Instrukcija</x:v>
      </x:c>
      <x:c r="D117" s="10" t="n">
        <x:v>0.1</x:v>
      </x:c>
      <x:c r="E117" s="9" t="n">
        <x:v>1</x:v>
      </x:c>
      <x:c r="F117" s="9" t="n">
        <x:v>1</x:v>
      </x:c>
      <x:c r="G117" s="7" t="n">
        <x:f>D117*E117</x:f>
        <x:v>0.1</x:v>
      </x:c>
      <x:c r="H117" s="7" t="n">
        <x:f>D117*F117</x:f>
        <x:v>0.1</x:v>
      </x:c>
      <x:c r="I117" s="2"/>
      <x:c r="J117" s="2"/>
      <x:c r="K117" s="2"/>
      <x:c r="L117" s="2"/>
    </x:row>
    <x:row r="118" ht="24" customHeight="1">
      <x:c r="C118" s="2" t="str">
        <x:v>Balti dažai (apie)</x:v>
      </x:c>
      <x:c r="D118" s="10" t="n">
        <x:v>0.1</x:v>
      </x:c>
      <x:c r="E118" s="9" t="n">
        <x:v>1</x:v>
      </x:c>
      <x:c r="F118" s="9" t="n">
        <x:v>1</x:v>
      </x:c>
      <x:c r="G118" s="7" t="n">
        <x:f>D118*E118</x:f>
        <x:v>0.1</x:v>
      </x:c>
      <x:c r="H118" s="7" t="n">
        <x:f>D118*F118</x:f>
        <x:v>0.1</x:v>
      </x:c>
      <x:c r="I118" s="2"/>
      <x:c r="J118" s="2"/>
      <x:c r="K118" s="2"/>
      <x:c r="L118" s="2"/>
    </x:row>
    <x:row r="119" ht="24" customHeight="1">
      <x:c r="C119" s="2"/>
      <x:c r="D119" s="2"/>
      <x:c r="E119" s="2"/>
      <x:c r="F119" s="2"/>
      <x:c r="G119" s="7"/>
      <x:c r="H119" s="7"/>
      <x:c r="I119" s="2"/>
      <x:c r="J119" s="2"/>
      <x:c r="K119" s="2"/>
      <x:c r="L119" s="2"/>
    </x:row>
    <x:row r="120" ht="24" customHeight="1">
      <x:c r="C120" s="2" t="str">
        <x:v>Medžiagos ir pakuotė iš viso</x:v>
      </x:c>
      <x:c r="D120" s="2"/>
      <x:c r="E120" s="2"/>
      <x:c r="F120" s="2"/>
      <x:c r="G120" s="7" t="n">
        <x:f>SUM(G112:G118)</x:f>
        <x:v>8.6</x:v>
      </x:c>
      <x:c r="H120" s="7" t="n">
        <x:f>SUM(H112:H118)</x:f>
        <x:v>15.6</x:v>
      </x:c>
      <x:c r="I120" s="2"/>
      <x:c r="J120" s="2"/>
      <x:c r="K120" s="2"/>
      <x:c r="L120" s="2"/>
    </x:row>
    <x:row r="121" ht="24" customHeight="1">
      <x:c r="C121" s="2" t="str">
        <x:v>Poros 10 EUR ir medžiagų skirtumas</x:v>
      </x:c>
      <x:c r="D121" s="2"/>
      <x:c r="E121" s="2"/>
      <x:c r="F121" s="2"/>
      <x:c r="G121" s="7" t="n">
        <x:f>D5-G120</x:f>
        <x:v>1.4000000000000004</x:v>
      </x:c>
      <x:c r="H121" s="7"/>
      <x:c r="I121" s="2" t="str">
        <x:v>Darbas ir kitos į 10 EUR įtrauktos sąnaudos, ne vien darbo įkainis.</x:v>
      </x:c>
      <x:c r="J121" s="2"/>
      <x:c r="K121" s="2"/>
      <x:c r="L121" s="2"/>
    </x:row>
  </x:sheetData>
  <x:mergeCells>
    <x:mergeCell ref="G70:L70"/>
    <x:mergeCell ref="G71:L71"/>
    <x:mergeCell ref="G72:L72"/>
    <x:mergeCell ref="G74:L74"/>
    <x:mergeCell ref="G75:L75"/>
  </x:mergeCells>
  <x:conditionalFormatting sqref="D30:I31">
    <x:cfRule type="cellIs" dxfId="0" priority="1" operator="lessThan">
      <x:formula>0</x:formula>
    </x:cfRule>
  </x:conditionalFormatting>
  <x:conditionalFormatting sqref="D47:I48">
    <x:cfRule type="cellIs" dxfId="1" priority="2" operator="lessThan">
      <x:formula>0</x:formula>
    </x:cfRule>
  </x:conditionalFormatting>
  <x:dataValidations count="1">
    <x:dataValidation type="decimal" operator="between" sqref="D9:D10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4" hidden="0" customWidth="1"/>
    <x:col min="5" max="5" width="10" hidden="0" customWidth="1"/>
    <x:col min="6" max="6" width="13" hidden="0" customWidth="1"/>
    <x:col min="7" max="7" width="16" hidden="0" customWidth="1"/>
    <x:col min="8" max="8" width="24" hidden="0" customWidth="1"/>
    <x:col min="9" max="9" width="19" hidden="0" customWidth="1"/>
    <x:col min="10" max="10" width="69" hidden="0" customWidth="1"/>
    <x:col min="11" max="11" width="69" hidden="0" customWidth="1"/>
    <x:col min="12" max="12" width="51" hidden="0" customWidth="1"/>
    <x:col min="13" max="13" width="45" hidden="0" customWidth="1"/>
    <x:col min="14" max="14" width="15" hidden="0" customWidth="1"/>
    <x:col min="15" max="15" width="22" hidden="0" customWidth="1"/>
    <x:col min="16" max="16" width="1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Europos konkurentų pasiūlymai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Stebėta 2026-10-21. 23 pasiūlymai; 9 ES šalys ir UK; EU eilutė – tarptautinė parduotuvė.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 t="str">
        <x:v>Vienas ženklas keliose šalyse nėra keli nepriklausomi konkurentai. Krepšeliai ir mokėjimai nebuvo užbaigti.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6" customHeight="1">
      <x:c r="A6" s="6" t="str">
        <x:v>Rinka</x:v>
      </x:c>
      <x:c r="B6" s="6" t="str">
        <x:v>Pardavėjas / produktas</x:v>
      </x:c>
      <x:c r="C6" s="6" t="str">
        <x:v>Tipas</x:v>
      </x:c>
      <x:c r="D6" s="6" t="str">
        <x:v>Rodoma kaina</x:v>
      </x:c>
      <x:c r="E6" s="6" t="str">
        <x:v>Valiuta</x:v>
      </x:c>
      <x:c r="F6" s="6" t="str">
        <x:v>Apie EUR</x:v>
      </x:c>
      <x:c r="G6" s="6" t="str">
        <x:v>Perbraukta kaina</x:v>
      </x:c>
      <x:c r="H6" s="6" t="str">
        <x:v>Grupė</x:v>
      </x:c>
      <x:c r="I6" s="6" t="str">
        <x:v>Palyginamumas</x:v>
      </x:c>
      <x:c r="J6" s="6" t="str">
        <x:v>Komplektacija</x:v>
      </x:c>
      <x:c r="K6" s="6" t="str">
        <x:v>Pristatymas</x:v>
      </x:c>
      <x:c r="L6" s="6" t="str">
        <x:v>Prieinamumas</x:v>
      </x:c>
      <x:c r="M6" s="6" t="str">
        <x:v>Patikros būdas</x:v>
      </x:c>
      <x:c r="N6" s="6" t="str">
        <x:v>Stebėjimo data</x:v>
      </x:c>
      <x:c r="O6" s="6" t="str">
        <x:v>Kursas valiutos už EUR</x:v>
      </x:c>
      <x:c r="P6" s="6" t="str">
        <x:v>Šaltinis</x:v>
      </x:c>
    </x:row>
    <x:row r="7" ht="64" customHeight="1">
      <x:c r="A7" s="2" t="str">
        <x:v>DE</x:v>
      </x:c>
      <x:c r="B7" s="2" t="str">
        <x:v>GipsME</x:v>
      </x:c>
      <x:c r="C7" s="2" t="str">
        <x:v>Porai</x:v>
      </x:c>
      <x:c r="D7" s="22" t="n">
        <x:v>24.9</x:v>
      </x:c>
      <x:c r="E7" s="23" t="str">
        <x:v>EUR</x:v>
      </x:c>
      <x:c r="F7" s="24" t="n">
        <x:f>D7/O7</x:f>
        <x:v>24.9</x:v>
      </x:c>
      <x:c r="G7" s="24" t="n">
        <x:v>39.9</x:v>
      </x:c>
      <x:c r="H7" s="25" t="str">
        <x:v>GipsME</x:v>
      </x:c>
      <x:c r="I7" s="2" t="str">
        <x:v>Pilnas</x:v>
      </x:c>
      <x:c r="J7" s="19" t="str">
        <x:v>450 g alginato; 1 kg gipso; 2,5 l indas; pagrindas; įrankiai; vaizdo instrukcija</x:v>
      </x:c>
      <x:c r="K7" s="19" t="str">
        <x:v>Produkto tekste nemokamai DE; antraštėje riba 27,90 EUR. Prieštara, galutinė pristatymo kaina nepatvirtinta.</x:v>
      </x:c>
      <x:c r="L7" s="19" t="str">
        <x:v>Nepriklausomai netikrinta</x:v>
      </x:c>
      <x:c r="M7" s="19" t="str">
        <x:v>Produkto puslapis</x:v>
      </x:c>
      <x:c r="N7" s="20" t="d">
        <x:v>2026-10-21T00:00:00.000Z</x:v>
      </x:c>
      <x:c r="O7" s="21" t="n">
        <x:v>1</x:v>
      </x:c>
      <x:c r="P7" s="2" t="str">
        <x:v>https://www.gipsme.de/products/gipsme-handabdruck-set-paare</x:v>
      </x:c>
    </x:row>
    <x:row r="8" ht="64" customHeight="1">
      <x:c r="A8" s="2" t="str">
        <x:v>DE</x:v>
      </x:c>
      <x:c r="B8" s="2" t="str">
        <x:v>Bolson / Shoparena</x:v>
      </x:c>
      <x:c r="C8" s="2" t="str">
        <x:v>Porai</x:v>
      </x:c>
      <x:c r="D8" s="22" t="n">
        <x:v>27.89</x:v>
      </x:c>
      <x:c r="E8" s="23" t="str">
        <x:v>EUR</x:v>
      </x:c>
      <x:c r="F8" s="24" t="n">
        <x:f>D8/O8</x:f>
        <x:v>27.89</x:v>
      </x:c>
      <x:c r="G8" s="24"/>
      <x:c r="H8" s="25" t="str">
        <x:v>Bolson</x:v>
      </x:c>
      <x:c r="I8" s="2" t="str">
        <x:v>Pilnas</x:v>
      </x:c>
      <x:c r="J8" s="19" t="str">
        <x:v>Dviejų suaugusiųjų rankoms; indas ir medžiagos; lakas bei teptukas; instrukcija</x:v>
      </x:c>
      <x:c r="K8" s="19" t="str">
        <x:v>Papildoma kaina nepatvirtinta</x:v>
      </x:c>
      <x:c r="L8" s="19" t="str">
        <x:v>Puslapyje nurodyta prieinama</x:v>
      </x:c>
      <x:c r="M8" s="19" t="str">
        <x:v>Produkto puslapis</x:v>
      </x:c>
      <x:c r="N8" s="20" t="d">
        <x:v>2026-10-21T00:00:00.000Z</x:v>
      </x:c>
      <x:c r="O8" s="21" t="n">
        <x:v>1</x:v>
      </x:c>
      <x:c r="P8" s="2" t="str">
        <x:v>https://shoparena.de/3D-Handabdruck-Set-fuer-Paare</x:v>
      </x:c>
    </x:row>
    <x:row r="9" ht="64" customHeight="1">
      <x:c r="A9" s="2" t="str">
        <x:v>DE</x:v>
      </x:c>
      <x:c r="B9" s="2" t="str">
        <x:v>Your Design / PEARL</x:v>
      </x:c>
      <x:c r="C9" s="2" t="str">
        <x:v>Porai</x:v>
      </x:c>
      <x:c r="D9" s="22" t="n">
        <x:v>23.99</x:v>
      </x:c>
      <x:c r="E9" s="23" t="str">
        <x:v>EUR</x:v>
      </x:c>
      <x:c r="F9" s="24" t="n">
        <x:f>D9/O9</x:f>
        <x:v>23.99</x:v>
      </x:c>
      <x:c r="G9" s="24" t="n">
        <x:v>49.9</x:v>
      </x:c>
      <x:c r="H9" s="25" t="str">
        <x:v>Your Design</x:v>
      </x:c>
      <x:c r="I9" s="2" t="str">
        <x:v>Dalinis</x:v>
      </x:c>
      <x:c r="J9" s="19" t="str">
        <x:v>Modelis CX-2047; komplektacija tyrime iki galo nepatikrinta</x:v>
      </x:c>
      <x:c r="K9" s="19" t="str">
        <x:v>Pristatymas papildomai</x:v>
      </x:c>
      <x:c r="L9" s="19" t="str">
        <x:v>Nepriklausomai netikrinta</x:v>
      </x:c>
      <x:c r="M9" s="19" t="str">
        <x:v>Gamintojo katalogas; ne galutinis krepšelis</x:v>
      </x:c>
      <x:c r="N9" s="20" t="d">
        <x:v>2026-10-21T00:00:00.000Z</x:v>
      </x:c>
      <x:c r="O9" s="21" t="n">
        <x:v>1</x:v>
      </x:c>
      <x:c r="P9" s="2" t="str">
        <x:v>https://www.your-design.net/Aktuelle-Your-Design-Produkte.html</x:v>
      </x:c>
    </x:row>
    <x:row r="10" ht="64" customHeight="1">
      <x:c r="A10" s="2" t="str">
        <x:v>FR</x:v>
      </x:c>
      <x:c r="B10" s="2" t="str">
        <x:v>CadoMaestro / Algaplay Couple</x:v>
      </x:c>
      <x:c r="C10" s="2" t="str">
        <x:v>Porai</x:v>
      </x:c>
      <x:c r="D10" s="22" t="n">
        <x:v>44.9</x:v>
      </x:c>
      <x:c r="E10" s="23" t="str">
        <x:v>EUR</x:v>
      </x:c>
      <x:c r="F10" s="24" t="n">
        <x:f>D10/O10</x:f>
        <x:v>44.9</x:v>
      </x:c>
      <x:c r="G10" s="24"/>
      <x:c r="H10" s="25" t="str">
        <x:v>Algaplay</x:v>
      </x:c>
      <x:c r="I10" s="2" t="str">
        <x:v>Pilnas</x:v>
      </x:c>
      <x:c r="J10" s="19" t="str">
        <x:v>450 g alginato; 1 kg gipso; indas; matavimo ąsotis; įrankiai; 6 kalbų instrukcija</x:v>
      </x:c>
      <x:c r="K10" s="19" t="str">
        <x:v>Pristatymo žinutės prieštaringos: produkto bloke nemokamai, bendroje juostoje nuo 59 EUR. Krepšelis netikrintas.</x:v>
      </x:c>
      <x:c r="L10" s="19" t="str">
        <x:v>Puslapyje nurodyta prieinama</x:v>
      </x:c>
      <x:c r="M10" s="19" t="str">
        <x:v>Produkto puslapis</x:v>
      </x:c>
      <x:c r="N10" s="20" t="d">
        <x:v>2026-10-21T00:00:00.000Z</x:v>
      </x:c>
      <x:c r="O10" s="21" t="n">
        <x:v>1</x:v>
      </x:c>
      <x:c r="P10" s="2" t="str">
        <x:v>https://www.cadomaestro.com/kit-moulage-couple-mains-3d-platre-34627.html</x:v>
      </x:c>
    </x:row>
    <x:row r="11" ht="64" customHeight="1">
      <x:c r="A11" s="2" t="str">
        <x:v>FR</x:v>
      </x:c>
      <x:c r="B11" s="2" t="str">
        <x:v>CadoMaestro / Algaplay Deux Mains</x:v>
      </x:c>
      <x:c r="C11" s="2" t="str">
        <x:v>Porai</x:v>
      </x:c>
      <x:c r="D11" s="22" t="n">
        <x:v>42.9</x:v>
      </x:c>
      <x:c r="E11" s="23" t="str">
        <x:v>EUR</x:v>
      </x:c>
      <x:c r="F11" s="24" t="n">
        <x:f>D11/O11</x:f>
        <x:v>42.9</x:v>
      </x:c>
      <x:c r="G11" s="24"/>
      <x:c r="H11" s="25" t="str">
        <x:v>Algaplay</x:v>
      </x:c>
      <x:c r="I11" s="2" t="str">
        <x:v>Pilnas</x:v>
      </x:c>
      <x:c r="J11" s="19" t="str">
        <x:v>450 g alginato; 1 kg gipso; indas ir matavimo priemonės; kitas tos pačios prekės šeimos variantas</x:v>
      </x:c>
      <x:c r="K11" s="19" t="str">
        <x:v>Krepšelis netikrintas</x:v>
      </x:c>
      <x:c r="L11" s="19" t="str">
        <x:v>Puslapyje nurodyta prieinama</x:v>
      </x:c>
      <x:c r="M11" s="19" t="str">
        <x:v>Produkto puslapis</x:v>
      </x:c>
      <x:c r="N11" s="20" t="d">
        <x:v>2026-10-21T00:00:00.000Z</x:v>
      </x:c>
      <x:c r="O11" s="21" t="n">
        <x:v>1</x:v>
      </x:c>
      <x:c r="P11" s="2" t="str">
        <x:v>https://www.cadomaestro.com/kit-moulage-3d-deux-mains-platre-34626.html</x:v>
      </x:c>
    </x:row>
    <x:row r="12" ht="64" customHeight="1">
      <x:c r="A12" s="2" t="str">
        <x:v>FR</x:v>
      </x:c>
      <x:c r="B12" s="2" t="str">
        <x:v>NIIMO / Cdiscount</x:v>
      </x:c>
      <x:c r="C12" s="2" t="str">
        <x:v>Porai</x:v>
      </x:c>
      <x:c r="D12" s="22" t="n">
        <x:v>57.55</x:v>
      </x:c>
      <x:c r="E12" s="23" t="str">
        <x:v>EUR</x:v>
      </x:c>
      <x:c r="F12" s="24" t="n">
        <x:f>D12/O12</x:f>
        <x:v>57.55</x:v>
      </x:c>
      <x:c r="G12" s="24" t="n">
        <x:v>67.9</x:v>
      </x:c>
      <x:c r="H12" s="25" t="str">
        <x:v>NIIMO</x:v>
      </x:c>
      <x:c r="I12" s="2" t="str">
        <x:v>Su priedais</x:v>
      </x:c>
      <x:c r="J12" s="19" t="str">
        <x:v>Dovanų versija; pagrindas; dažai; priedai. Medžiagų masės šiame puslapyje nepatvirtintos.</x:v>
      </x:c>
      <x:c r="K12" s="19" t="str">
        <x:v>Neįtraukta; krepšelis netikrintas</x:v>
      </x:c>
      <x:c r="L12" s="19" t="str">
        <x:v>Puslapyje pateiktas pasiūlymas</x:v>
      </x:c>
      <x:c r="M12" s="19" t="str">
        <x:v>Produkto puslapis, prekyvietė</x:v>
      </x:c>
      <x:c r="N12" s="20" t="d">
        <x:v>2026-10-21T00:00:00.000Z</x:v>
      </x:c>
      <x:c r="O12" s="21" t="n">
        <x:v>1</x:v>
      </x:c>
      <x:c r="P12" s="2" t="str">
        <x:v>https://www.cdiscount.com/arts-loisirs/loisirs-creatifs/niimo-kit-moulage-main-couple-kit-moulage-3d-ave/f-16102070801-nii1738072947035.html</x:v>
      </x:c>
    </x:row>
    <x:row r="13" ht="64" customHeight="1">
      <x:c r="A13" s="2" t="str">
        <x:v>IT</x:v>
      </x:c>
      <x:c r="B13" s="2" t="str">
        <x:v>Algaplay Michelangelo L</x:v>
      </x:c>
      <x:c r="C13" s="2" t="str">
        <x:v>Porai</x:v>
      </x:c>
      <x:c r="D13" s="22" t="n">
        <x:v>24.9</x:v>
      </x:c>
      <x:c r="E13" s="23" t="str">
        <x:v>EUR</x:v>
      </x:c>
      <x:c r="F13" s="24" t="n">
        <x:f>D13/O13</x:f>
        <x:v>24.9</x:v>
      </x:c>
      <x:c r="G13" s="24"/>
      <x:c r="H13" s="25" t="str">
        <x:v>Algaplay</x:v>
      </x:c>
      <x:c r="I13" s="2" t="str">
        <x:v>Pilnas</x:v>
      </x:c>
      <x:c r="J13" s="19" t="str">
        <x:v>450 g alginato; 1 kg gipso; indas / komplektas dviejų suaugusiųjų rankoms; ąsotis; instrukcija</x:v>
      </x:c>
      <x:c r="K13" s="19" t="str">
        <x:v>Apskaičiuojama atsiskaitant</x:v>
      </x:c>
      <x:c r="L13" s="19" t="str">
        <x:v>HTML rodo kelias prieinamumo būsenas, netvirtinama</x:v>
      </x:c>
      <x:c r="M13" s="19" t="str">
        <x:v>Produkto puslapis</x:v>
      </x:c>
      <x:c r="N13" s="20" t="d">
        <x:v>2026-10-21T00:00:00.000Z</x:v>
      </x:c>
      <x:c r="O13" s="21" t="n">
        <x:v>1</x:v>
      </x:c>
      <x:c r="P13" s="2" t="str">
        <x:v>https://algaplay.com/it/products/michelangelo-kit-l</x:v>
      </x:c>
    </x:row>
    <x:row r="14" ht="64" customHeight="1">
      <x:c r="A14" s="2" t="str">
        <x:v>ES</x:v>
      </x:c>
      <x:c r="B14" s="2" t="str">
        <x:v>Reschimica Love Cast / Leroy Merlin</x:v>
      </x:c>
      <x:c r="C14" s="2" t="str">
        <x:v>Porai</x:v>
      </x:c>
      <x:c r="D14" s="22" t="n">
        <x:v>30.9</x:v>
      </x:c>
      <x:c r="E14" s="23" t="str">
        <x:v>EUR</x:v>
      </x:c>
      <x:c r="F14" s="24" t="n">
        <x:f>D14/O14</x:f>
        <x:v>30.9</x:v>
      </x:c>
      <x:c r="G14" s="24"/>
      <x:c r="H14" s="25" t="str">
        <x:v>Reschimica</x:v>
      </x:c>
      <x:c r="I14" s="2" t="str">
        <x:v>Pilnas</x:v>
      </x:c>
      <x:c r="J14" s="19" t="str">
        <x:v>Alginatas; liejimo milteliai; indas; įrankiai; instrukcija. Pardavėjas nurodytas Reschimica.</x:v>
      </x:c>
      <x:c r="K14" s="19" t="str">
        <x:v>Puslapyje nemokamas pristatymas į namus; adresu nepatikrinta</x:v>
      </x:c>
      <x:c r="L14" s="19" t="str">
        <x:v>Puslapyje pateiktas pasiūlymas</x:v>
      </x:c>
      <x:c r="M14" s="19" t="str">
        <x:v>Produkto puslapis, pardavėjo pasiūlymas prekyvietėje</x:v>
      </x:c>
      <x:c r="N14" s="20" t="d">
        <x:v>2026-10-21T00:00:00.000Z</x:v>
      </x:c>
      <x:c r="O14" s="21" t="n">
        <x:v>1</x:v>
      </x:c>
      <x:c r="P14" s="2" t="str">
        <x:v>https://www.leroymerlin.es/productos/love-cast-kit-molde-de-manos-pareja-y-familia-escultura-3d-realista-en-yeso-ceramico-made-in-italy-regalo-romantico-y-creativo-87901783.html</x:v>
      </x:c>
    </x:row>
    <x:row r="15" ht="64" customHeight="1">
      <x:c r="A15" s="2" t="str">
        <x:v>PL</x:v>
      </x:c>
      <x:c r="B15" s="2" t="str">
        <x:v>Forever Hands Para</x:v>
      </x:c>
      <x:c r="C15" s="2" t="str">
        <x:v>Porai</x:v>
      </x:c>
      <x:c r="D15" s="22" t="n">
        <x:v>139.9</x:v>
      </x:c>
      <x:c r="E15" s="23" t="str">
        <x:v>PLN</x:v>
      </x:c>
      <x:c r="F15" s="24" t="n">
        <x:f>D15/O15</x:f>
        <x:v>31.96399195759459</x:v>
      </x:c>
      <x:c r="G15" s="24" t="n">
        <x:v>189.9</x:v>
      </x:c>
      <x:c r="H15" s="25" t="str">
        <x:v>Forever Hands</x:v>
      </x:c>
      <x:c r="I15" s="2" t="str">
        <x:v>Pilnas</x:v>
      </x:c>
      <x:c r="J15" s="19" t="str">
        <x:v>600 g alginato; 800 g gipso; indas; pirštinės; įrankiai; instrukcija</x:v>
      </x:c>
      <x:c r="K15" s="19" t="str">
        <x:v>Kaina nepatvirtinta</x:v>
      </x:c>
      <x:c r="L15" s="19" t="str">
        <x:v>Nepriklausomai netikrinta</x:v>
      </x:c>
      <x:c r="M15" s="19" t="str">
        <x:v>Produkto puslapis</x:v>
      </x:c>
      <x:c r="N15" s="20" t="d">
        <x:v>2026-10-21T00:00:00.000Z</x:v>
      </x:c>
      <x:c r="O15" s="21" t="n">
        <x:v>4.3768</x:v>
      </x:c>
      <x:c r="P15" s="2" t="str">
        <x:v>https://foreverhands.pl/collections/hand-casting-kits/products/zestaw-do-odlewu-dloni-para</x:v>
      </x:c>
    </x:row>
    <x:row r="16" ht="64" customHeight="1">
      <x:c r="A16" s="2" t="str">
        <x:v>PL</x:v>
      </x:c>
      <x:c r="B16" s="2" t="str">
        <x:v>This Moment Classic</x:v>
      </x:c>
      <x:c r="C16" s="2" t="str">
        <x:v>Porai</x:v>
      </x:c>
      <x:c r="D16" s="22" t="n">
        <x:v>149</x:v>
      </x:c>
      <x:c r="E16" s="23" t="str">
        <x:v>PLN</x:v>
      </x:c>
      <x:c r="F16" s="24" t="n">
        <x:f>D16/O16</x:f>
        <x:v>34.04313653811003</x:v>
      </x:c>
      <x:c r="G16" s="24"/>
      <x:c r="H16" s="25" t="str">
        <x:v>This Moment</x:v>
      </x:c>
      <x:c r="I16" s="2" t="str">
        <x:v>Be indo</x:v>
      </x:c>
      <x:c r="J16" s="19" t="str">
        <x:v>Liejimo masė, gipsas ir instrukcija; indą bei įrankius pirkėjas pasiruošia pats. 121,14 PLN yra rodoma neto suma, ne akcija.</x:v>
      </x:c>
      <x:c r="K16" s="19" t="str">
        <x:v>Svetainėje nemokama Orlen Paczka rinkiniams</x:v>
      </x:c>
      <x:c r="L16" s="19" t="str">
        <x:v>Puslapyje nurodyta prieinama</x:v>
      </x:c>
      <x:c r="M16" s="19" t="str">
        <x:v>Produkto puslapis</x:v>
      </x:c>
      <x:c r="N16" s="20" t="d">
        <x:v>2026-10-21T00:00:00.000Z</x:v>
      </x:c>
      <x:c r="O16" s="21" t="n">
        <x:v>4.3768</x:v>
      </x:c>
      <x:c r="P16" s="2" t="str">
        <x:v>https://this-moment.pl/zestaw-do-odlewu-dloni-dla-pary-classic</x:v>
      </x:c>
    </x:row>
    <x:row r="17" ht="64" customHeight="1">
      <x:c r="A17" s="2" t="str">
        <x:v>PL</x:v>
      </x:c>
      <x:c r="B17" s="2" t="str">
        <x:v>This Moment Premium</x:v>
      </x:c>
      <x:c r="C17" s="2" t="str">
        <x:v>Porai</x:v>
      </x:c>
      <x:c r="D17" s="22" t="n">
        <x:v>329</x:v>
      </x:c>
      <x:c r="E17" s="23" t="str">
        <x:v>PLN</x:v>
      </x:c>
      <x:c r="F17" s="24" t="n">
        <x:f>D17/O17</x:f>
        <x:v>75.16907329555839</x:v>
      </x:c>
      <x:c r="G17" s="24"/>
      <x:c r="H17" s="25" t="str">
        <x:v>This Moment</x:v>
      </x:c>
      <x:c r="I17" s="2" t="str">
        <x:v>Su priedais</x:v>
      </x:c>
      <x:c r="J17" s="19" t="str">
        <x:v>500 g masės; 1 kg gipso; 2 indai; maišymo ir apdailos įrankiai; apsauginė plėvelė; dovanos pakuotė</x:v>
      </x:c>
      <x:c r="K17" s="19" t="str">
        <x:v>Svetainėje nemokama Orlen Paczka rinkiniams</x:v>
      </x:c>
      <x:c r="L17" s="19" t="str">
        <x:v>Puslapyje nurodyta prieinama</x:v>
      </x:c>
      <x:c r="M17" s="19" t="str">
        <x:v>Produkto puslapis</x:v>
      </x:c>
      <x:c r="N17" s="20" t="d">
        <x:v>2026-10-21T00:00:00.000Z</x:v>
      </x:c>
      <x:c r="O17" s="21" t="n">
        <x:v>4.3768</x:v>
      </x:c>
      <x:c r="P17" s="2" t="str">
        <x:v>https://this-moment.pl/zestaw-do-odlewu-dloni-dla-pary-premium</x:v>
      </x:c>
    </x:row>
    <x:row r="18" ht="64" customHeight="1">
      <x:c r="A18" s="2" t="str">
        <x:v>PL</x:v>
      </x:c>
      <x:c r="B18" s="2" t="str">
        <x:v>Odlew Dłoni</x:v>
      </x:c>
      <x:c r="C18" s="2" t="str">
        <x:v>Porai</x:v>
      </x:c>
      <x:c r="D18" s="22" t="n">
        <x:v>150</x:v>
      </x:c>
      <x:c r="E18" s="23" t="str">
        <x:v>PLN</x:v>
      </x:c>
      <x:c r="F18" s="24" t="n">
        <x:f>D18/O18</x:f>
        <x:v>34.2716139645403</x:v>
      </x:c>
      <x:c r="G18" s="24"/>
      <x:c r="H18" s="25" t="str">
        <x:v>Odlew Dłoni</x:v>
      </x:c>
      <x:c r="I18" s="2" t="str">
        <x:v>Dalinis</x:v>
      </x:c>
      <x:c r="J18" s="19" t="str">
        <x:v>600 g masės; apie 1 kg gipso; instrukcija. Indas išvardytoje komplektacijoje nepatvirtintas.</x:v>
      </x:c>
      <x:c r="K18" s="19" t="str">
        <x:v>Puslapyje 1 PLN užsakymams virš 100 PLN</x:v>
      </x:c>
      <x:c r="L18" s="19" t="str">
        <x:v>Puslapyje pateiktas pasiūlymas</x:v>
      </x:c>
      <x:c r="M18" s="19" t="str">
        <x:v>Produkto puslapis</x:v>
      </x:c>
      <x:c r="N18" s="20" t="d">
        <x:v>2026-10-21T00:00:00.000Z</x:v>
      </x:c>
      <x:c r="O18" s="21" t="n">
        <x:v>4.3768</x:v>
      </x:c>
      <x:c r="P18" s="2" t="str">
        <x:v>https://odlewdloni.pl/produkt/odlew-dloni-dla-par/</x:v>
      </x:c>
    </x:row>
    <x:row r="19" ht="64" customHeight="1">
      <x:c r="A19" s="2" t="str">
        <x:v>NL</x:v>
      </x:c>
      <x:c r="B19" s="2" t="str">
        <x:v>Forever Hands Koppel</x:v>
      </x:c>
      <x:c r="C19" s="2" t="str">
        <x:v>Porai</x:v>
      </x:c>
      <x:c r="D19" s="22" t="n">
        <x:v>35.99</x:v>
      </x:c>
      <x:c r="E19" s="23" t="str">
        <x:v>EUR</x:v>
      </x:c>
      <x:c r="F19" s="24" t="n">
        <x:f>D19/O19</x:f>
        <x:v>35.99</x:v>
      </x:c>
      <x:c r="G19" s="24" t="n">
        <x:v>41.99</x:v>
      </x:c>
      <x:c r="H19" s="25" t="str">
        <x:v>Forever Hands</x:v>
      </x:c>
      <x:c r="I19" s="2" t="str">
        <x:v>Pilnas</x:v>
      </x:c>
      <x:c r="J19" s="19" t="str">
        <x:v>600 g alginato; 800 g gipso; indas; įrankiai; instrukcija</x:v>
      </x:c>
      <x:c r="K19" s="19" t="str">
        <x:v>Kaina nepatvirtinta</x:v>
      </x:c>
      <x:c r="L19" s="19" t="str">
        <x:v>Nepriklausomai netikrinta</x:v>
      </x:c>
      <x:c r="M19" s="19" t="str">
        <x:v>Produkto puslapis</x:v>
      </x:c>
      <x:c r="N19" s="20" t="d">
        <x:v>2026-10-21T00:00:00.000Z</x:v>
      </x:c>
      <x:c r="O19" s="21" t="n">
        <x:v>1</x:v>
      </x:c>
      <x:c r="P19" s="2" t="str">
        <x:v>https://foreverhands.shop/products/koppel-handbeeld-creatie-set</x:v>
      </x:c>
    </x:row>
    <x:row r="20" ht="64" customHeight="1">
      <x:c r="A20" s="2" t="str">
        <x:v>EU</x:v>
      </x:c>
      <x:c r="B20" s="2" t="str">
        <x:v>Forever Hands Couple</x:v>
      </x:c>
      <x:c r="C20" s="2" t="str">
        <x:v>Porai</x:v>
      </x:c>
      <x:c r="D20" s="22" t="n">
        <x:v>34.99</x:v>
      </x:c>
      <x:c r="E20" s="23" t="str">
        <x:v>EUR</x:v>
      </x:c>
      <x:c r="F20" s="24" t="n">
        <x:f>D20/O20</x:f>
        <x:v>34.99</x:v>
      </x:c>
      <x:c r="G20" s="24" t="n">
        <x:v>46.99</x:v>
      </x:c>
      <x:c r="H20" s="25" t="str">
        <x:v>Forever Hands</x:v>
      </x:c>
      <x:c r="I20" s="2" t="str">
        <x:v>Pilnas</x:v>
      </x:c>
      <x:c r="J20" s="19" t="str">
        <x:v>600 g alginato; 800 g gipso; indas; įrankiai; instrukcija. Tas pats ženklas kaip PL ir NL, ne nepriklausomas konkurentas.</x:v>
      </x:c>
      <x:c r="K20" s="19" t="str">
        <x:v>Šalis ir galutinė pristatymo kaina nepasirinktos</x:v>
      </x:c>
      <x:c r="L20" s="19" t="str">
        <x:v>HTML kelios būsenos, netvirtinama</x:v>
      </x:c>
      <x:c r="M20" s="19" t="str">
        <x:v>Tarptautinis produkto puslapis</x:v>
      </x:c>
      <x:c r="N20" s="20" t="d">
        <x:v>2026-10-21T00:00:00.000Z</x:v>
      </x:c>
      <x:c r="O20" s="21" t="n">
        <x:v>1</x:v>
      </x:c>
      <x:c r="P20" s="2" t="str">
        <x:v>https://foreverhands.co/products/hand-casting-kit-couple</x:v>
      </x:c>
    </x:row>
    <x:row r="21" ht="64" customHeight="1">
      <x:c r="A21" s="2" t="str">
        <x:v>LT</x:v>
      </x:c>
      <x:c r="B21" s="2" t="str">
        <x:v>Levitara / RamyCzasu</x:v>
      </x:c>
      <x:c r="C21" s="2" t="str">
        <x:v>Porai</x:v>
      </x:c>
      <x:c r="D21" s="22" t="n">
        <x:v>49.79</x:v>
      </x:c>
      <x:c r="E21" s="23" t="str">
        <x:v>EUR</x:v>
      </x:c>
      <x:c r="F21" s="24" t="n">
        <x:f>D21/O21</x:f>
        <x:v>49.79</x:v>
      </x:c>
      <x:c r="G21" s="24" t="n">
        <x:v>53.56</x:v>
      </x:c>
      <x:c r="H21" s="25" t="str">
        <x:v>RamyCzasu</x:v>
      </x:c>
      <x:c r="I21" s="2" t="str">
        <x:v>Pilnas</x:v>
      </x:c>
      <x:c r="J21" s="19" t="str">
        <x:v>450 g masės; 1 kg gipso; indas; instrukcija</x:v>
      </x:c>
      <x:c r="K21" s="19" t="str">
        <x:v>Tekste nemokamai, prie kainos apskaičiuojama atsiskaitant. Nepatvirtinta.</x:v>
      </x:c>
      <x:c r="L21" s="19" t="str">
        <x:v>Puslapyje išparduota; tik kainos orientyras</x:v>
      </x:c>
      <x:c r="M21" s="19" t="str">
        <x:v>Produkto puslapis</x:v>
      </x:c>
      <x:c r="N21" s="20" t="d">
        <x:v>2026-10-21T00:00:00.000Z</x:v>
      </x:c>
      <x:c r="O21" s="21" t="n">
        <x:v>1</x:v>
      </x:c>
      <x:c r="P21" s="2" t="str">
        <x:v>https://www.levitara.lt/products/triju-litru-gipsiniu-susikibusiu-ranku-liejimo-rinkinys-suaugusiesiems-ir-vaikams</x:v>
      </x:c>
    </x:row>
    <x:row r="22" ht="64" customHeight="1">
      <x:c r="A22" s="2" t="str">
        <x:v>UK</x:v>
      </x:c>
      <x:c r="B22" s="2" t="str">
        <x:v>Craftmill</x:v>
      </x:c>
      <x:c r="C22" s="2" t="str">
        <x:v>Porai</x:v>
      </x:c>
      <x:c r="D22" s="22" t="n">
        <x:v>14.99</x:v>
      </x:c>
      <x:c r="E22" s="23" t="str">
        <x:v>GBP</x:v>
      </x:c>
      <x:c r="F22" s="24" t="n">
        <x:f>D22/O22</x:f>
        <x:v>17.839291664683202</x:v>
      </x:c>
      <x:c r="G22" s="24"/>
      <x:c r="H22" s="25" t="str">
        <x:v>Craftmill</x:v>
      </x:c>
      <x:c r="I22" s="2" t="str">
        <x:v>Be indo</x:v>
      </x:c>
      <x:c r="J22" s="19" t="str">
        <x:v>900 g alginato; 1 kg gipso; pirštinės; instrukcija. Be dovanos pakuotės; indas neišvardytas.</x:v>
      </x:c>
      <x:c r="K22" s="19" t="str">
        <x:v>Nemokamai tik virš 100 GBP</x:v>
      </x:c>
      <x:c r="L22" s="19" t="str">
        <x:v>Puslapyje prieinama</x:v>
      </x:c>
      <x:c r="M22" s="19" t="str">
        <x:v>Produkto puslapis; ne ES benchmarkas</x:v>
      </x:c>
      <x:c r="N22" s="20" t="d">
        <x:v>2026-10-21T00:00:00.000Z</x:v>
      </x:c>
      <x:c r="O22" s="21" t="n">
        <x:v>0.84028</x:v>
      </x:c>
      <x:c r="P22" s="2" t="str">
        <x:v>https://www.craftmill.co.uk/casting-moulding/alginate-modroc-casting-plaster/alginate-chromatic-colour-change-moulding-material/simple-3-d-hand-or-foot-casting-kit-450g-alginate-1kg-plaster-gloves-leaflet-instructions</x:v>
      </x:c>
    </x:row>
    <x:row r="23" ht="64" customHeight="1">
      <x:c r="A23" s="2" t="str">
        <x:v>UK</x:v>
      </x:c>
      <x:c r="B23" s="2" t="str">
        <x:v>Maskura</x:v>
      </x:c>
      <x:c r="C23" s="2" t="str">
        <x:v>Porai</x:v>
      </x:c>
      <x:c r="D23" s="22" t="n">
        <x:v>26.99</x:v>
      </x:c>
      <x:c r="E23" s="23" t="str">
        <x:v>GBP</x:v>
      </x:c>
      <x:c r="F23" s="24" t="n">
        <x:f>D23/O23</x:f>
        <x:v>32.12024563240824</x:v>
      </x:c>
      <x:c r="G23" s="24" t="n">
        <x:v>29.99</x:v>
      </x:c>
      <x:c r="H23" s="25" t="str">
        <x:v>Maskura</x:v>
      </x:c>
      <x:c r="I23" s="2" t="str">
        <x:v>Pilnas</x:v>
      </x:c>
      <x:c r="J23" s="19" t="str">
        <x:v>Poros rinkinys; tikslios medžiagų masės nepatvirtintos</x:v>
      </x:c>
      <x:c r="K23" s="19" t="str">
        <x:v>Puslapyje nemokamai UK</x:v>
      </x:c>
      <x:c r="L23" s="19" t="str">
        <x:v>Nepriklausomai netikrinta</x:v>
      </x:c>
      <x:c r="M23" s="19" t="str">
        <x:v>Produkto puslapis; ne ES benchmarkas</x:v>
      </x:c>
      <x:c r="N23" s="20" t="d">
        <x:v>2026-10-21T00:00:00.000Z</x:v>
      </x:c>
      <x:c r="O23" s="21" t="n">
        <x:v>0.84028</x:v>
      </x:c>
      <x:c r="P23" s="2" t="str">
        <x:v>https://www.maskura.co.uk/products/hand-mould-casting-kit</x:v>
      </x:c>
    </x:row>
    <x:row r="24" ht="64" customHeight="1">
      <x:c r="A24" s="2" t="str">
        <x:v>UK</x:v>
      </x:c>
      <x:c r="B24" s="2" t="str">
        <x:v>Edinburgh Casting Studio Premium</x:v>
      </x:c>
      <x:c r="C24" s="2" t="str">
        <x:v>Porai</x:v>
      </x:c>
      <x:c r="D24" s="22" t="n">
        <x:v>44</x:v>
      </x:c>
      <x:c r="E24" s="23" t="str">
        <x:v>GBP</x:v>
      </x:c>
      <x:c r="F24" s="24" t="n">
        <x:f>D24/O24</x:f>
        <x:v>52.363497881658496</x:v>
      </x:c>
      <x:c r="G24" s="24" t="n">
        <x:v>55</x:v>
      </x:c>
      <x:c r="H24" s="25" t="str">
        <x:v>Edinburgh Casting Studio</x:v>
      </x:c>
      <x:c r="I24" s="2" t="str">
        <x:v>Pilnas</x:v>
      </x:c>
      <x:c r="J24" s="19" t="str">
        <x:v>Dviejų rankų rinkinys; indas; medžiagos; instrukcija; pirštinės; sandarinimo priemonė; teptukas</x:v>
      </x:c>
      <x:c r="K24" s="19" t="str">
        <x:v>Kaina nepatvirtinta; nevertinta importuojant į ES</x:v>
      </x:c>
      <x:c r="L24" s="19" t="str">
        <x:v>Puslapyje Current stock 0; nepatvirtintas prieinamas pasiūlymas</x:v>
      </x:c>
      <x:c r="M24" s="19" t="str">
        <x:v>Produkto puslapis; ne ES benchmarkas</x:v>
      </x:c>
      <x:c r="N24" s="20" t="d">
        <x:v>2026-10-21T00:00:00.000Z</x:v>
      </x:c>
      <x:c r="O24" s="21" t="n">
        <x:v>0.84028</x:v>
      </x:c>
      <x:c r="P24" s="2" t="str">
        <x:v>https://checkout.edinburghcasting.com/premium-handhold-casting-kit/</x:v>
      </x:c>
    </x:row>
    <x:row r="25" ht="64" customHeight="1">
      <x:c r="A25" s="2" t="str">
        <x:v>LV</x:v>
      </x:c>
      <x:c r="B25" s="2" t="str">
        <x:v>Dealmasters / 220.lv</x:v>
      </x:c>
      <x:c r="C25" s="2" t="str">
        <x:v>Neaiškus</x:v>
      </x:c>
      <x:c r="D25" s="22" t="n">
        <x:v>26.99</x:v>
      </x:c>
      <x:c r="E25" s="23" t="str">
        <x:v>EUR</x:v>
      </x:c>
      <x:c r="F25" s="24" t="n">
        <x:f>D25/O25</x:f>
        <x:v>26.99</x:v>
      </x:c>
      <x:c r="G25" s="24"/>
      <x:c r="H25" s="25" t="str">
        <x:v>Dealmasters</x:v>
      </x:c>
      <x:c r="I25" s="2" t="str">
        <x:v>Neįtraukti</x:v>
      </x:c>
      <x:c r="J25" s="19" t="str">
        <x:v>Pavadinime 2 komplektai; neaiški masė / kiekis. PLUS 24,99 EUR nėra universali kaina.</x:v>
      </x:c>
      <x:c r="K25" s="19" t="str">
        <x:v>Puslapyje paštomatas nuo 2,49 EUR</x:v>
      </x:c>
      <x:c r="L25" s="19" t="str">
        <x:v>Pateiktas pasiūlymas</x:v>
      </x:c>
      <x:c r="M25" s="19" t="str">
        <x:v>Produkto paieškos ištrauka; nepatikimas palyginamumas</x:v>
      </x:c>
      <x:c r="N25" s="20" t="d">
        <x:v>2026-10-21T00:00:00.000Z</x:v>
      </x:c>
      <x:c r="O25" s="21" t="n">
        <x:v>1</x:v>
      </x:c>
      <x:c r="P25" s="2" t="str">
        <x:v>https://220.lv/lv/mebeles-un-interjers/interjers/interjera-prieksmeti/roku-liesanas-komplekts-pariem-2-komplekti?id=135824507</x:v>
      </x:c>
    </x:row>
    <x:row r="26" ht="64" customHeight="1">
      <x:c r="A26" s="2" t="str">
        <x:v>EE</x:v>
      </x:c>
      <x:c r="B26" s="2" t="str">
        <x:v>Dealmasters / Kaup24</x:v>
      </x:c>
      <x:c r="C26" s="2" t="str">
        <x:v>Neaiškus</x:v>
      </x:c>
      <x:c r="D26" s="22" t="n">
        <x:v>26.99</x:v>
      </x:c>
      <x:c r="E26" s="23" t="str">
        <x:v>EUR</x:v>
      </x:c>
      <x:c r="F26" s="24" t="n">
        <x:f>D26/O26</x:f>
        <x:v>26.99</x:v>
      </x:c>
      <x:c r="G26" s="24"/>
      <x:c r="H26" s="25" t="str">
        <x:v>Dealmasters</x:v>
      </x:c>
      <x:c r="I26" s="2" t="str">
        <x:v>Neįtraukti</x:v>
      </x:c>
      <x:c r="J26" s="19" t="str">
        <x:v>Pavadinime 2 komplektai; pakuotė nurodyta tik 0,3 kg. Nepalyginama su 2,2 kg Memocasting rinkiniu. PLUS 24,99 EUR.</x:v>
      </x:c>
      <x:c r="K26" s="19" t="str">
        <x:v>Puslapyje paštomatas nuo 2,49 EUR</x:v>
      </x:c>
      <x:c r="L26" s="19" t="str">
        <x:v>Pateiktas pasiūlymas</x:v>
      </x:c>
      <x:c r="M26" s="19" t="str">
        <x:v>Produkto paieškos ištrauka; nepatikimas palyginamumas</x:v>
      </x:c>
      <x:c r="N26" s="20" t="d">
        <x:v>2026-10-21T00:00:00.000Z</x:v>
      </x:c>
      <x:c r="O26" s="21" t="n">
        <x:v>1</x:v>
      </x:c>
      <x:c r="P26" s="2" t="str">
        <x:v>https://kaup24.ee/et/moobel-ja-sisustus/kodusisustus/detailid-interjooris/kate-vormikomplekt-paaridele-2-komplekti?id=126009750</x:v>
      </x:c>
    </x:row>
    <x:row r="27" ht="64" customHeight="1">
      <x:c r="A27" s="2" t="str">
        <x:v>FR</x:v>
      </x:c>
      <x:c r="B27" s="2" t="str">
        <x:v>CadoMaestro / Algaplay XL</x:v>
      </x:c>
      <x:c r="C27" s="2" t="str">
        <x:v>Šeimai</x:v>
      </x:c>
      <x:c r="D27" s="22" t="n">
        <x:v>56.9</x:v>
      </x:c>
      <x:c r="E27" s="23" t="str">
        <x:v>EUR</x:v>
      </x:c>
      <x:c r="F27" s="24" t="n">
        <x:f>D27/O27</x:f>
        <x:v>56.9</x:v>
      </x:c>
      <x:c r="G27" s="24"/>
      <x:c r="H27" s="25" t="str">
        <x:v>Algaplay</x:v>
      </x:c>
      <x:c r="I27" s="2" t="str">
        <x:v>Šeimos</x:v>
      </x:c>
      <x:c r="J27" s="19" t="str">
        <x:v>900 g alginato; 2 kg gipso; didelis indas; instrukcija; pakuotė 3,381 kg</x:v>
      </x:c>
      <x:c r="K27" s="19" t="str">
        <x:v>Krepšelis netikrintas</x:v>
      </x:c>
      <x:c r="L27" s="19" t="str">
        <x:v>Puslapyje prieinama</x:v>
      </x:c>
      <x:c r="M27" s="19" t="str">
        <x:v>Produkto puslapis</x:v>
      </x:c>
      <x:c r="N27" s="20" t="d">
        <x:v>2026-10-21T00:00:00.000Z</x:v>
      </x:c>
      <x:c r="O27" s="21" t="n">
        <x:v>1</x:v>
      </x:c>
      <x:c r="P27" s="2" t="str">
        <x:v>https://www.cadomaestro.com/kit-moulage-main-3d-en-platre-13080.html</x:v>
      </x:c>
    </x:row>
    <x:row r="28" ht="64" customHeight="1">
      <x:c r="A28" s="2" t="str">
        <x:v>IT</x:v>
      </x:c>
      <x:c r="B28" s="2" t="str">
        <x:v>Algaplay Michelangelo XL</x:v>
      </x:c>
      <x:c r="C28" s="2" t="str">
        <x:v>Šeimai</x:v>
      </x:c>
      <x:c r="D28" s="22" t="n">
        <x:v>34</x:v>
      </x:c>
      <x:c r="E28" s="23" t="str">
        <x:v>EUR</x:v>
      </x:c>
      <x:c r="F28" s="24" t="n">
        <x:f>D28/O28</x:f>
        <x:v>34</x:v>
      </x:c>
      <x:c r="G28" s="24"/>
      <x:c r="H28" s="25" t="str">
        <x:v>Algaplay</x:v>
      </x:c>
      <x:c r="I28" s="2" t="str">
        <x:v>Šeimos</x:v>
      </x:c>
      <x:c r="J28" s="19" t="str">
        <x:v>Gamintojas pozicionuoja keturių suaugusiųjų rankoms; lokalizuotos instrukcijos. Talpos teiginys nepriskiriamas Memocasting.</x:v>
      </x:c>
      <x:c r="K28" s="19" t="str">
        <x:v>Apskaičiuojama atsiskaitant</x:v>
      </x:c>
      <x:c r="L28" s="19" t="str">
        <x:v>HTML kelios būsenos, netvirtinama</x:v>
      </x:c>
      <x:c r="M28" s="19" t="str">
        <x:v>Produkto puslapis</x:v>
      </x:c>
      <x:c r="N28" s="20" t="d">
        <x:v>2026-10-21T00:00:00.000Z</x:v>
      </x:c>
      <x:c r="O28" s="21" t="n">
        <x:v>1</x:v>
      </x:c>
      <x:c r="P28" s="2" t="str">
        <x:v>https://algaplay.com/it/products/michelangelo-kit-xl</x:v>
      </x:c>
    </x:row>
    <x:row r="29" ht="64" customHeight="1">
      <x:c r="A29" s="2" t="str">
        <x:v>NL</x:v>
      </x:c>
      <x:c r="B29" s="2" t="str">
        <x:v>Forever Hands Familie</x:v>
      </x:c>
      <x:c r="C29" s="2" t="str">
        <x:v>Šeimai</x:v>
      </x:c>
      <x:c r="D29" s="22" t="n">
        <x:v>37.99</x:v>
      </x:c>
      <x:c r="E29" s="23" t="str">
        <x:v>EUR</x:v>
      </x:c>
      <x:c r="F29" s="24" t="n">
        <x:f>D29/O29</x:f>
        <x:v>37.99</x:v>
      </x:c>
      <x:c r="G29" s="24" t="n">
        <x:v>50.99</x:v>
      </x:c>
      <x:c r="H29" s="25" t="str">
        <x:v>Forever Hands</x:v>
      </x:c>
      <x:c r="I29" s="2" t="str">
        <x:v>Abejotina šeimos</x:v>
      </x:c>
      <x:c r="J29" s="19" t="str">
        <x:v>Šeimos pavadinimas, bet tekste tie patys 600 g alginato / 800 g gipso kaip poros rinkinyje. Talpa nepatvirtinta.</x:v>
      </x:c>
      <x:c r="K29" s="19" t="str">
        <x:v>Kaina nepatvirtinta</x:v>
      </x:c>
      <x:c r="L29" s="19" t="str">
        <x:v>Nepriklausomai netikrinta</x:v>
      </x:c>
      <x:c r="M29" s="19" t="str">
        <x:v>Produkto puslapis; medžiagų kiekio neatitikimas</x:v>
      </x:c>
      <x:c r="N29" s="20" t="d">
        <x:v>2026-10-21T00:00:00.000Z</x:v>
      </x:c>
      <x:c r="O29" s="21" t="n">
        <x:v>1</x:v>
      </x:c>
      <x:c r="P29" s="2" t="str">
        <x:v>https://foreverhands.shop/products/hand-casting-kit-family</x:v>
      </x:c>
    </x:row>
    <x:row r="32" ht="24" customHeight="1">
      <x:c r="A32" s="2" t="str">
        <x:v>ECB 2026-10-20: 1 EUR = 4,3768 PLN = 0,84028 GBP. Tik palyginimui, ne atsiskaitymo kursas.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4" customHeight="1">
      <x:c r="A33" s="2" t="str">
        <x:v>https://www.ecb.europa.eu/stats/eurofxref/eurofxref-daily.xml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2" t="str">
        <x:v>Standartinis PVM augimo modeliui: DE 19 %, FR 20 %, PL 23 %, IT 22 %, LT/LV/NL/ES 21 %, EE 24 %.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4" customHeight="1">
      <x:c r="A35" s="2" t="str">
        <x:v>Šaltinis: https://europa.eu/youreurope/business/finance-and-tax/vat/vat-rules-rates/index_en.htm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4" customHeight="1">
      <x:c r="A36" s="2" t="str">
        <x:v>Perbraukta kaina nėra patvirtinta įprasta sandorio kaina. Kuponai neįtraukti be jų sąlygų patvirtinimo.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 t="str">
        <x:v>Paslaugos, kūdikių molio atspaudai, žaliavų papildymai, importo antkainiai ir neaiškūs 2 rinkinių pasiūlymai atskirti.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4" customHeight="1">
      <x:c r="A38" s="2" t="str">
        <x:v>Kainos – viešo puslapio stebėjimas. Tai nėra pardavėjo sąskaita ar vienodos sudėties produktų laboratorinis palyginimas.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4" hidden="0" customWidth="1"/>
    <x:col min="4" max="4" width="16" hidden="0" customWidth="1"/>
    <x:col min="5" max="5" width="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2" ht="32" customHeight="1">
      <x:c r="C2" s="3" t="str">
        <x:v>Memocasting renginių partnerių modelis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C3" s="2" t="str">
        <x:v>Vestuvių vedėjai, ceremonijų organizatoriai ir muzikantai, kurie patys veda programą.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C5" s="2" t="str">
        <x:v>Poros rinkinio B2B kaina</x:v>
      </x:c>
      <x:c r="D5" s="10" t="n">
        <x:v>18</x:v>
      </x:c>
      <x:c r="E5" s="2"/>
      <x:c r="F5" s="2" t="str">
        <x:v>Visi kiekiai ir konversijos čia yra scenarijus, ne prognozė.</x:v>
      </x:c>
      <x:c r="G5" s="2"/>
      <x:c r="H5" s="2"/>
      <x:c r="I5" s="2"/>
      <x:c r="J5" s="2"/>
      <x:c r="K5" s="2"/>
      <x:c r="L5" s="2"/>
    </x:row>
    <x:row r="6" ht="24" customHeight="1">
      <x:c r="C6" s="2" t="str">
        <x:v>Poros rinkinio savikaina</x:v>
      </x:c>
      <x:c r="D6" s="26" t="n">
        <x:f>'Kainodara'!D5</x:f>
        <x:v>10</x:v>
      </x:c>
      <x:c r="E6" s="2"/>
      <x:c r="F6" s="2" t="str">
        <x:v>Keiskite renginių skaičių, dalį su liejimu ir aktyvių partnerių kiekį.</x:v>
      </x:c>
      <x:c r="G6" s="2"/>
      <x:c r="H6" s="2"/>
      <x:c r="I6" s="2"/>
      <x:c r="J6" s="2"/>
      <x:c r="K6" s="2"/>
      <x:c r="L6" s="2"/>
    </x:row>
    <x:row r="7" ht="24" customHeight="1">
      <x:c r="C7" s="2" t="str">
        <x:v>Demonstracijai / mokymuisi skirti rinkiniai</x:v>
      </x:c>
      <x:c r="D7" s="27" t="n">
        <x:v>2</x:v>
      </x:c>
      <x:c r="E7" s="2"/>
      <x:c r="F7" s="2" t="str">
        <x:v>Likučiai skaičiuojami iš savikainos ir B2B aptarnavimo rezervo.</x:v>
      </x:c>
      <x:c r="G7" s="2"/>
      <x:c r="H7" s="2"/>
      <x:c r="I7" s="2"/>
      <x:c r="J7" s="2"/>
      <x:c r="K7" s="2"/>
      <x:c r="L7" s="2"/>
    </x:row>
    <x:row r="8" ht="24" customHeight="1">
      <x:c r="C8" s="2" t="str">
        <x:v>Demonstracijų siuntimas (prielaida)</x:v>
      </x:c>
      <x:c r="D8" s="10" t="n">
        <x:v>6</x:v>
      </x:c>
      <x:c r="E8" s="2"/>
      <x:c r="F8" s="2" t="str">
        <x:v>Vienas rinkinys renginyje nėra tas pats, kas platintojo pardavimai.</x:v>
      </x:c>
      <x:c r="G8" s="2"/>
      <x:c r="H8" s="2"/>
      <x:c r="I8" s="2"/>
      <x:c r="J8" s="2"/>
      <x:c r="K8" s="2"/>
      <x:c r="L8" s="2"/>
    </x:row>
    <x:row r="9" ht="24" customHeight="1">
      <x:c r="C9" s="2" t="str">
        <x:v>Demonstracijos investicija</x:v>
      </x:c>
      <x:c r="D9" s="7" t="n">
        <x:f>D6*D7+D8</x:f>
        <x:v>26</x:v>
      </x:c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C10" s="2" t="str">
        <x:v>Pirmo mokamo užsakymo kiekis</x:v>
      </x:c>
      <x:c r="D10" s="27" t="n">
        <x:v>20</x:v>
      </x:c>
      <x:c r="E10" s="2"/>
      <x:c r="F10" s="2" t="str">
        <x:v>Nemokami rinkiniai tik atrinktam bandomajam bendradarbiavimui.</x:v>
      </x:c>
      <x:c r="G10" s="2"/>
      <x:c r="H10" s="2"/>
      <x:c r="I10" s="2"/>
      <x:c r="J10" s="2"/>
      <x:c r="K10" s="2"/>
      <x:c r="L10" s="2"/>
    </x:row>
    <x:row r="11" ht="24" customHeight="1">
      <x:c r="C11" s="2" t="str">
        <x:v>B2B aptarnavimo rezervas / vnt.</x:v>
      </x:c>
      <x:c r="D11" s="26" t="n">
        <x:f>'Kainodara'!D15</x:f>
        <x:v>1</x:v>
      </x:c>
      <x:c r="E11" s="2"/>
      <x:c r="F11" s="2" t="str">
        <x:v>Siūloma pradėti nuo 3–5 partnerių, ne nuo 50 nemokamų siuntų.</x:v>
      </x:c>
      <x:c r="G11" s="2"/>
      <x:c r="H11" s="2"/>
      <x:c r="I11" s="2"/>
      <x:c r="J11" s="2"/>
      <x:c r="K11" s="2"/>
      <x:c r="L11" s="2"/>
    </x:row>
    <x:row r="12" ht="24" customHeight="1">
      <x:c r="C12" s="2" t="str">
        <x:v>Likutis iš vieno mokamo rinkinio</x:v>
      </x:c>
      <x:c r="D12" s="7" t="n">
        <x:f>D5-D6-D11</x:f>
        <x:v>7</x:v>
      </x:c>
      <x:c r="E12" s="2"/>
      <x:c r="F12" s="2" t="str">
        <x:v>Profesionalus partneris mokosi prieš gyvą pasirodymą.</x:v>
      </x:c>
      <x:c r="G12" s="2"/>
      <x:c r="H12" s="2"/>
      <x:c r="I12" s="2"/>
      <x:c r="J12" s="2"/>
      <x:c r="K12" s="2"/>
      <x:c r="L12" s="2"/>
    </x:row>
    <x:row r="13" ht="24" customHeight="1">
      <x:c r="C13" s="2" t="str">
        <x:v>Rinkiniai demonstracijos investicijai padengti</x:v>
      </x:c>
      <x:c r="D13" s="28" t="n">
        <x:f>ROUNDUP(D9/D12,0)</x:f>
        <x:v>4</x:v>
      </x:c>
      <x:c r="E13" s="2"/>
      <x:c r="F13" s="2" t="str">
        <x:v>Formos paėmimas ir skulptūros kietėjimas – skirtingi programos etapai.</x:v>
      </x:c>
      <x:c r="G13" s="2"/>
      <x:c r="H13" s="2"/>
      <x:c r="I13" s="2"/>
      <x:c r="J13" s="2"/>
      <x:c r="K13" s="2"/>
      <x:c r="L13" s="2"/>
    </x:row>
    <x:row r="14" ht="24" customHeight="1">
      <x:c r="C14" s="2" t="str">
        <x:v>Pirmo užsakymo likutis po demonstracijų</x:v>
      </x:c>
      <x:c r="D14" s="7" t="n">
        <x:f>D10*D12-D9</x:f>
        <x:v>114</x:v>
      </x:c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C15" s="2" t="str">
        <x:v>Vestuvių per partnerio sezoną (prielaida)</x:v>
      </x:c>
      <x:c r="D15" s="27" t="n">
        <x:v>20</x:v>
      </x:c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C16" s="2" t="str">
        <x:v>Renginių su rankų liejimu dalis (prielaida)</x:v>
      </x:c>
      <x:c r="D16" s="11" t="n">
        <x:v>0.4</x:v>
      </x:c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C17" s="2" t="str">
        <x:v>Rinkinių vienam partneriui per sezoną</x:v>
      </x:c>
      <x:c r="D17" s="28" t="n">
        <x:f>D15*D16</x:f>
        <x:v>8</x:v>
      </x:c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C18" s="2" t="str">
        <x:v>Aktyvių partnerių (prielaida)</x:v>
      </x:c>
      <x:c r="D18" s="27" t="n">
        <x:v>50</x:v>
      </x:c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C19" s="2" t="str">
        <x:v>Rinkinių per sezoną</x:v>
      </x:c>
      <x:c r="D19" s="28" t="n">
        <x:f>D17*D18</x:f>
        <x:v>400</x:v>
      </x:c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C20" s="2" t="str">
        <x:v>Likutis prieš demonstracijų programą</x:v>
      </x:c>
      <x:c r="D20" s="7" t="n">
        <x:f>D19*D12</x:f>
        <x:v>2800</x:v>
      </x:c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C21" s="2" t="str">
        <x:v>Visų naujų partnerių demonstracijų sąnaudos</x:v>
      </x:c>
      <x:c r="D21" s="7" t="n">
        <x:f>D18*D9</x:f>
        <x:v>1300</x:v>
      </x:c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C22" s="16" t="str">
        <x:v>Likutis po demonstracijų programos</x:v>
      </x:c>
      <x:c r="D22" s="17" t="n">
        <x:f>D20-D21</x:f>
        <x:v>1500</x:v>
      </x:c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2" customHeight="1">
      <x:c r="C25" s="3" t="str">
        <x:v>Profesionalams siūlomos kainų pakopos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6" customHeight="1">
      <x:c r="C26" s="6" t="str">
        <x:v>Kiekis</x:v>
      </x:c>
      <x:c r="D26" s="6" t="str">
        <x:v>Kaina / vnt.</x:v>
      </x:c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C27" s="2" t="str">
        <x:v>5–9 vnt.</x:v>
      </x:c>
      <x:c r="D27" s="7" t="n">
        <x:v>19</x:v>
      </x:c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C28" s="2" t="str">
        <x:v>10–19 vnt.</x:v>
      </x:c>
      <x:c r="D28" s="7" t="n">
        <x:v>18.5</x:v>
      </x:c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C29" s="2" t="str">
        <x:v>20–49 vnt.</x:v>
      </x:c>
      <x:c r="D29" s="7" t="n">
        <x:v>18</x:v>
      </x:c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C30" s="2" t="str">
        <x:v>50+ vnt.</x:v>
      </x:c>
      <x:c r="D30" s="7" t="n">
        <x:v>17</x:v>
      </x:c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C32" s="2" t="str">
        <x:v>Kainos prieš taikytiną PVM; siuntimas atskirai. Rinkinių kiekiai pagal suderintą gamybos pajėgumą.</x:v>
      </x:c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32" customHeight="1">
      <x:c r="C35" s="3" t="str">
        <x:v>Partnerio paslaugos skaičiavimo pavyzdys</x:v>
      </x:c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C36" s="2" t="str">
        <x:v>Priemoka jaunavedžiams be PVM</x:v>
      </x:c>
      <x:c r="D36" s="7" t="n">
        <x:v>100</x:v>
      </x:c>
      <x:c r="E36" s="2"/>
      <x:c r="F36" s="2" t="str">
        <x:v>100 EUR – hipotetinė paslaugos neto kaina, ne rinkos vidurkis.</x:v>
      </x:c>
      <x:c r="G36" s="2"/>
      <x:c r="H36" s="2"/>
      <x:c r="I36" s="2"/>
      <x:c r="J36" s="2"/>
      <x:c r="K36" s="2"/>
      <x:c r="L36" s="2"/>
    </x:row>
    <x:row r="37" ht="24" customHeight="1">
      <x:c r="C37" s="2" t="str">
        <x:v>Rinkinys</x:v>
      </x:c>
      <x:c r="D37" s="7" t="n">
        <x:f>D5</x:f>
        <x:v>18</x:v>
      </x:c>
      <x:c r="E37" s="2"/>
      <x:c r="F37" s="2" t="str">
        <x:v>Intens’Art Prancūzijoje skelbia 250 EUR už 1 val. vestuvių paslaugą.</x:v>
      </x:c>
      <x:c r="G37" s="2"/>
      <x:c r="H37" s="2"/>
      <x:c r="I37" s="2"/>
      <x:c r="J37" s="2"/>
      <x:c r="K37" s="2"/>
      <x:c r="L37" s="2"/>
    </x:row>
    <x:row r="38" ht="24" customHeight="1">
      <x:c r="C38" s="2" t="str">
        <x:v>Partnerio darbas ir pasiruošimas (prielaida)</x:v>
      </x:c>
      <x:c r="D38" s="7" t="n">
        <x:v>25</x:v>
      </x:c>
      <x:c r="E38" s="2"/>
      <x:c r="F38" s="2" t="str">
        <x:v>Įtraukta kelionė, formos paėmimas, išėmimas; apdaila dirbtuvėje.</x:v>
      </x:c>
      <x:c r="G38" s="2"/>
      <x:c r="H38" s="2"/>
      <x:c r="I38" s="2"/>
      <x:c r="J38" s="2"/>
      <x:c r="K38" s="2"/>
      <x:c r="L38" s="2"/>
    </x:row>
    <x:row r="39" ht="24" customHeight="1">
      <x:c r="C39" s="2" t="str">
        <x:v>Logistika, apdaila ir kitos sąnaudos (prielaida)</x:v>
      </x:c>
      <x:c r="D39" s="7" t="n">
        <x:v>10</x:v>
      </x:c>
      <x:c r="E39" s="2"/>
      <x:c r="F39" s="2" t="str">
        <x:v>Tai platesnė profesionali paslauga, todėl 250 EUR nėra rinkinio kaina.</x:v>
      </x:c>
      <x:c r="G39" s="2"/>
      <x:c r="H39" s="2"/>
      <x:c r="I39" s="2"/>
      <x:c r="J39" s="2"/>
      <x:c r="K39" s="2"/>
      <x:c r="L39" s="2"/>
    </x:row>
    <x:row r="40" ht="24" customHeight="1">
      <x:c r="C40" s="2" t="str">
        <x:v>Partnerio likutis</x:v>
      </x:c>
      <x:c r="D40" s="7" t="n">
        <x:f>D36-SUM(D37:D39)</x:f>
        <x:v>47</x:v>
      </x:c>
      <x:c r="E40" s="2"/>
      <x:c r="F40" s="2" t="str">
        <x:v>https://www.intens-art.fr/ceremonies-evenements.html</x:v>
      </x:c>
      <x:c r="G40" s="2"/>
      <x:c r="H40" s="2"/>
      <x:c r="I40" s="2"/>
      <x:c r="J40" s="2"/>
      <x:c r="K40" s="2"/>
      <x:c r="L40" s="2"/>
    </x:row>
    <x:row r="41" ht="24" customHeight="1">
      <x:c r="C41" s="2" t="str">
        <x:v>Partnerio marža</x:v>
      </x:c>
      <x:c r="D41" s="18" t="n">
        <x:f>D40/D36</x:f>
        <x:v>0.47</x:v>
      </x:c>
      <x:c r="E41" s="2"/>
      <x:c r="F41" s="2"/>
      <x:c r="G41" s="2"/>
      <x:c r="H41" s="2"/>
      <x:c r="I41" s="2"/>
      <x:c r="J41" s="2"/>
      <x:c r="K41" s="2"/>
      <x:c r="L41" s="2"/>
    </x:row>
    <x:row r="42" ht="32" customHeight="1">
      <x:c r="C42" s="2" t="str">
        <x:v>Paslaugos rinkos kainos patikra</x:v>
      </x:c>
      <x:c r="D42" s="2" t="str">
        <x:v>Netirta</x:v>
      </x:c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32" customHeight="1">
      <x:c r="C45" s="3" t="str">
        <x:v>Atranka ir rezultatų matavimas</x:v>
      </x:c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C46" s="2" t="str">
        <x:v>Tikriname tikras vestuves, aktyvų sezoną, regioną, kalbą ir kas valdo programą.</x:v>
      </x:c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C47" s="2" t="str">
        <x:v>DJ ar grupė tinkami, jei gali patys vesti patirtį arba dirba su vedėju.</x:v>
      </x:c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C48" s="2" t="str">
        <x:v>Demonstracijos susitarimas: mokymasis, tikras renginys, sutartos vaizdų naudojimo teisės.</x:v>
      </x:c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C49" s="2" t="str">
        <x:v>Partnerio kodas / QR turi atskirti rinkinių pirkimus nuo svečių nukreipimų į parduotuvę.</x:v>
      </x:c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C50" s="2" t="str">
        <x:v>Stebėti: mokamas pirmas užsakymas, pakartotinis užsakymas, rinkinių skaičius ir padengimo suma.</x:v>
      </x:c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C51" s="2" t="str">
        <x:v>Nemokama demonstracija pati savaime nėra pardavimo ar reklamos grąžos įrodymas.</x:v>
      </x:c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C53" s="2" t="str">
        <x:v>Savininkas 2026-10-21 aprašė ankstesnį bandymą su Kauno vestuvių vedėju.</x:v>
      </x:c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C54" s="2" t="str">
        <x:v>Rinkiniai tuomet buvo duodami nemokamai. Pardavimų atribucijos duomenys nepateikti.</x:v>
      </x:c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C55" s="2" t="str">
        <x:v>Tai atskiras B2B kanalas greta parduotuvių ir šalies platintojų.</x:v>
      </x:c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C56" s="2" t="str">
        <x:v>Pateiktas programos projektas; nauji partneriai nekontaktuoti ir nemokamos siuntos neužsakytos.</x:v>
      </x:c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60" ht="32" customHeight="1">
      <x:c r="C60" s="3" t="str">
        <x:v>Geriausių vedėjų kelias į šalies atstovavimą</x:v>
      </x:c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C62" s="2" t="str">
        <x:v>1. Bandomasis renginių partneris: mokosi ir perka savo programai.</x:v>
      </x:c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C63" s="2" t="str">
        <x:v>2. Regiono ambasadorius: įrodyti renginiai, vaizdų teisės, atsekami pirkimai.</x:v>
      </x:c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C64" s="2" t="str">
        <x:v>3. Įgaliotas pardavėjas: perka atsargas, aptarnauja vietinius klientus.</x:v>
      </x:c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C65" s="2" t="str">
        <x:v>4. Šalies vystymo partneris: įrodyti pakartotiniai užsakymai ir kitų partnerių tinklas.</x:v>
      </x:c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C67" s="2" t="str">
        <x:v>Pirma 90 dienų be visos šalies išskirtinumo; terminai – siūlomos sąlygos.</x:v>
      </x:c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C68" s="2" t="str">
        <x:v>Vietinė svetainė suteikiama pasiekus sutartą pardavimų ir aptarnavimo lygį.</x:v>
      </x:c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C69" s="2" t="str">
        <x:v>Prekių ženklas, domeno kontrolė ir bendras kodas lieka Memocasting.</x:v>
      </x:c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C70" s="2" t="str">
        <x:v>Klientui aiškiai nurodomas tikras pardavėjas ir grąžinimus tvarkanti įmonė.</x:v>
      </x:c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4" customHeight="1">
      <x:c r="C71" s="2" t="str">
        <x:v>Atskiras pardavėjas turi atskirą mokėjimų paskyrą ir užsakymų prieigas.</x:v>
      </x:c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4" customHeight="1">
      <x:c r="C72" s="2" t="str">
        <x:v>Sistemos palaikymas ir svetainė kainuoja; tai nėra neribota nemokama franšizė.</x:v>
      </x:c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4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4" customHeight="1">
      <x:c r="C74" s="2" t="str">
        <x:v>10 vietinių vedėjų × 8 rinkiniai = 80; tai tik iliustracija, ne paklausos prognozė.</x:v>
      </x:c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4" customHeight="1">
      <x:c r="C75" s="2" t="str">
        <x:v>Šalies partnerio marža negali būti skaičiuojama du kartus kaip tavo pelnas.</x:v>
      </x:c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4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4" customHeight="1">
      <x:c r="C77" s="2" t="str">
        <x:v>Sutartyje: tikslai, atsiskaitymas, turinio teisės, teritorija, terminas ir pasitraukimas.</x:v>
      </x:c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4" customHeight="1">
      <x:c r="C78" s="2" t="str">
        <x:v>Rekomenduojamos mažmeninės kainos nėra privalomos partnerio pardavimo kainos.</x:v>
      </x:c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4" customHeight="1">
      <x:c r="C80" s="2" t="str">
        <x:v>Atstovų paieškos ir sistemos plėtros vykdymas šiuo tyrimu nepradėtas.</x:v>
      </x:c>
      <x:c r="D80" s="2"/>
      <x:c r="E80" s="2"/>
      <x:c r="F80" s="2"/>
      <x:c r="G80" s="2"/>
      <x:c r="H80" s="2"/>
      <x:c r="I80" s="2"/>
      <x:c r="J80" s="2"/>
      <x:c r="K80" s="2"/>
      <x:c r="L80" s="2"/>
    </x:row>
    <x:row r="84" ht="32" customHeight="1">
      <x:c r="C84" s="3" t="str">
        <x:v>Šalies svetainės subsidijos atsipirkimas</x:v>
      </x:c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4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4" customHeight="1">
      <x:c r="C86" s="2" t="str">
        <x:v>Tavo kaina šalies platintojui</x:v>
      </x:c>
      <x:c r="D86" s="26" t="n">
        <x:f>'Kainodara'!D75</x:f>
        <x:v>15</x:v>
      </x:c>
      <x:c r="E86" s="2"/>
      <x:c r="F86" s="2" t="str">
        <x:v>Naudojama dviejų tarpininkų grandinės poros kaina; ne visiems vedėjams.</x:v>
      </x:c>
      <x:c r="G86" s="2"/>
      <x:c r="H86" s="2"/>
      <x:c r="I86" s="2"/>
      <x:c r="J86" s="2"/>
      <x:c r="K86" s="2"/>
      <x:c r="L86" s="2"/>
    </x:row>
    <x:row r="87" ht="24" customHeight="1">
      <x:c r="C87" s="2" t="str">
        <x:v>Tavo savikaina</x:v>
      </x:c>
      <x:c r="D87" s="26" t="n">
        <x:f>'Kainodara'!D5</x:f>
        <x:v>10</x:v>
      </x:c>
      <x:c r="E87" s="2"/>
      <x:c r="F87" s="2" t="str">
        <x:v>500 EUR parengimui ir 25 EUR/mėn. – skaičiavimo prielaidos.</x:v>
      </x:c>
      <x:c r="G87" s="2"/>
      <x:c r="H87" s="2"/>
      <x:c r="I87" s="2"/>
      <x:c r="J87" s="2"/>
      <x:c r="K87" s="2"/>
      <x:c r="L87" s="2"/>
    </x:row>
    <x:row r="88" ht="24" customHeight="1">
      <x:c r="C88" s="2" t="str">
        <x:v>B2B rezervas</x:v>
      </x:c>
      <x:c r="D88" s="26" t="n">
        <x:f>'Kainodara'!D15</x:f>
        <x:v>1</x:v>
      </x:c>
      <x:c r="E88" s="2"/>
      <x:c r="F88" s="2" t="str">
        <x:v>Pirmiausia bandomasis puslapis; pilna svetainė po mokamų užsakymų.</x:v>
      </x:c>
      <x:c r="G88" s="2"/>
      <x:c r="H88" s="2"/>
      <x:c r="I88" s="2"/>
      <x:c r="J88" s="2"/>
      <x:c r="K88" s="2"/>
      <x:c r="L88" s="2"/>
    </x:row>
    <x:row r="89" ht="24" customHeight="1">
      <x:c r="C89" s="2" t="str">
        <x:v>Tavo likutis / vnt.</x:v>
      </x:c>
      <x:c r="D89" s="7" t="n">
        <x:f>D86-D87-D88</x:f>
        <x:v>4</x:v>
      </x:c>
      <x:c r="E89" s="2"/>
      <x:c r="F89" s="2"/>
      <x:c r="G89" s="2"/>
      <x:c r="H89" s="2"/>
      <x:c r="I89" s="2"/>
      <x:c r="J89" s="2"/>
      <x:c r="K89" s="2"/>
      <x:c r="L89" s="2"/>
    </x:row>
    <x:row r="90" ht="24" customHeight="1">
      <x:c r="C90" s="2" t="str">
        <x:v>Svetainė ir lokalizacija (prielaida)</x:v>
      </x:c>
      <x:c r="D90" s="10" t="n">
        <x:v>500</x:v>
      </x:c>
      <x:c r="E90" s="2"/>
      <x:c r="F90" s="2" t="str">
        <x:v>Atsipirkimas tik iš tavo rinkinių likučio, ne iš partnerio visų pajamų.</x:v>
      </x:c>
      <x:c r="G90" s="2"/>
      <x:c r="H90" s="2"/>
      <x:c r="I90" s="2"/>
      <x:c r="J90" s="2"/>
      <x:c r="K90" s="2"/>
      <x:c r="L90" s="2"/>
    </x:row>
    <x:row r="91" ht="24" customHeight="1">
      <x:c r="C91" s="2" t="str">
        <x:v>Palaikymas / mėn. (prielaida)</x:v>
      </x:c>
      <x:c r="D91" s="10" t="n">
        <x:v>25</x:v>
      </x:c>
      <x:c r="E91" s="2"/>
      <x:c r="F91" s="2" t="str">
        <x:v>Reikia papildomai padengti demonstracijas, reklamą ir kitas pastovias sąnaudas.</x:v>
      </x:c>
      <x:c r="G91" s="2"/>
      <x:c r="H91" s="2"/>
      <x:c r="I91" s="2"/>
      <x:c r="J91" s="2"/>
      <x:c r="K91" s="2"/>
      <x:c r="L91" s="2"/>
    </x:row>
    <x:row r="92" ht="24" customHeight="1">
      <x:c r="C92" s="2" t="str">
        <x:v>Vertinimo mėnesiai</x:v>
      </x:c>
      <x:c r="D92" s="27" t="n">
        <x:v>12</x:v>
      </x:c>
      <x:c r="E92" s="2"/>
      <x:c r="F92" s="2"/>
      <x:c r="G92" s="2"/>
      <x:c r="H92" s="2"/>
      <x:c r="I92" s="2"/>
      <x:c r="J92" s="2"/>
      <x:c r="K92" s="2"/>
      <x:c r="L92" s="2"/>
    </x:row>
    <x:row r="93" ht="24" customHeight="1">
      <x:c r="C93" s="2" t="str">
        <x:v>Sistemos sąnaudos laikotarpiui</x:v>
      </x:c>
      <x:c r="D93" s="7" t="n">
        <x:f>D90+D91*D92</x:f>
        <x:v>800</x:v>
      </x:c>
      <x:c r="E93" s="2"/>
      <x:c r="F93" s="2" t="str">
        <x:v>Sistema nėra įdiegta naujoms šalims. Domenų ir serverių išlaidos neprisiimtos.</x:v>
      </x:c>
      <x:c r="G93" s="2"/>
      <x:c r="H93" s="2"/>
      <x:c r="I93" s="2"/>
      <x:c r="J93" s="2"/>
      <x:c r="K93" s="2"/>
      <x:c r="L93" s="2"/>
    </x:row>
    <x:row r="94" ht="24" customHeight="1">
      <x:c r="C94" s="2" t="str">
        <x:v>Rinkiniai sistemos sąnaudoms padengti</x:v>
      </x:c>
      <x:c r="D94" s="28" t="n">
        <x:f>ROUNDUP(D93/D89,0)</x:f>
        <x:v>200</x:v>
      </x:c>
      <x:c r="E94" s="2"/>
      <x:c r="F94" s="2"/>
      <x:c r="G94" s="2"/>
      <x:c r="H94" s="2"/>
      <x:c r="I94" s="2"/>
      <x:c r="J94" s="2"/>
      <x:c r="K94" s="2"/>
      <x:c r="L94" s="2"/>
    </x:row>
    <x:row r="95" ht="24" customHeight="1">
      <x:c r="C95" s="2" t="str">
        <x:v>Planuojamas kiekis (prielaida)</x:v>
      </x:c>
      <x:c r="D95" s="27" t="n">
        <x:v>200</x:v>
      </x:c>
      <x:c r="E95" s="2"/>
      <x:c r="F95" s="2"/>
      <x:c r="G95" s="2"/>
      <x:c r="H95" s="2"/>
      <x:c r="I95" s="2"/>
      <x:c r="J95" s="2"/>
      <x:c r="K95" s="2"/>
      <x:c r="L95" s="2"/>
    </x:row>
    <x:row r="96" ht="24" customHeight="1">
      <x:c r="C96" s="2" t="str">
        <x:v>Likutis po sistemos sąnaudų</x:v>
      </x:c>
      <x:c r="D96" s="7" t="n">
        <x:f>D95*D89-D93</x:f>
        <x:v>0</x:v>
      </x:c>
      <x:c r="E96" s="2"/>
      <x:c r="F96" s="2"/>
      <x:c r="G96" s="2"/>
      <x:c r="H96" s="2"/>
      <x:c r="I96" s="2"/>
      <x:c r="J96" s="2"/>
      <x:c r="K96" s="2"/>
      <x:c r="L96" s="2"/>
    </x:row>
    <x:row r="97" ht="24" customHeight="1">
      <x:c r="C97" s="2" t="str">
        <x:v>Sistemos prielaidas pakeisti tikrais pasiūlymais</x:v>
      </x:c>
      <x:c r="D97" s="2" t="str"/>
      <x:c r="E97" s="2"/>
      <x:c r="F97" s="2"/>
      <x:c r="G97" s="2"/>
      <x:c r="H97" s="2"/>
      <x:c r="I97" s="2"/>
      <x:c r="J97" s="2"/>
      <x:c r="K97" s="2"/>
      <x:c r="L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4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4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2" ht="32" customHeight="1">
      <x:c r="C2" s="3" t="str">
        <x:v>20 rinkinių pilotas: LT ar Vokietijos 3PL?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C3" s="2" t="str">
        <x:v>Vienas rinkinys užsakyme. 20 vnt. atsarga nėra 20 užsakymų per mėnesį prognozė.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C5" s="2" t="str">
        <x:v>Partijos rinkinių kiekis</x:v>
      </x:c>
      <x:c r="D5" s="27" t="n">
        <x:v>20</x:v>
      </x:c>
      <x:c r="E5" s="2"/>
      <x:c r="F5" s="2" t="str">
        <x:v>Viešos StartFill bazinės kainos nėra gautas mūsų produkto pasiūlymas.</x:v>
      </x:c>
      <x:c r="G5" s="2"/>
      <x:c r="H5" s="2"/>
      <x:c r="I5" s="2"/>
      <x:c r="J5" s="2"/>
      <x:c r="K5" s="2"/>
      <x:c r="L5" s="2"/>
    </x:row>
    <x:row r="6" ht="24" customHeight="1">
      <x:c r="C6" s="2" t="str">
        <x:v>Užsakymų per mėnesį (prielaida)</x:v>
      </x:c>
      <x:c r="D6" s="27" t="n">
        <x:v>20</x:v>
      </x:c>
      <x:c r="E6" s="2"/>
      <x:c r="F6" s="2" t="str">
        <x:v>https://startfill.com/pricing/</x:v>
      </x:c>
      <x:c r="G6" s="2"/>
      <x:c r="H6" s="2"/>
      <x:c r="I6" s="2"/>
      <x:c r="J6" s="2"/>
      <x:c r="K6" s="2"/>
      <x:c r="L6" s="2"/>
    </x:row>
    <x:row r="7" ht="24" customHeight="1">
      <x:c r="C7" s="2" t="str">
        <x:v>Partijos atvežimas į DE (prielaida)</x:v>
      </x:c>
      <x:c r="D7" s="10" t="n">
        <x:v>40</x:v>
      </x:c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C8" s="2" t="str">
        <x:v>Vieneto priėmimas, StartFill Lite viešai</x:v>
      </x:c>
      <x:c r="D8" s="10" t="n">
        <x:v>0.39</x:v>
      </x:c>
      <x:c r="E8" s="2"/>
      <x:c r="F8" s="2" t="str">
        <x:v>Kurjeris, atvežimas, administravimas ir paklausa – nepatikrintos prielaidos.</x:v>
      </x:c>
      <x:c r="G8" s="2"/>
      <x:c r="H8" s="2"/>
      <x:c r="I8" s="2"/>
      <x:c r="J8" s="2"/>
      <x:c r="K8" s="2"/>
      <x:c r="L8" s="2"/>
    </x:row>
    <x:row r="9" ht="24" customHeight="1">
      <x:c r="C9" s="2" t="str">
        <x:v>Surinkimas / pakavimas, vieša bazė</x:v>
      </x:c>
      <x:c r="D9" s="10" t="n">
        <x:v>1.7</x:v>
      </x:c>
      <x:c r="E9" s="2"/>
      <x:c r="F9" s="2" t="str">
        <x:v>Pakuotė nuo 0,48 EUR gali kainuoti daugiau mūsų dydžiui / svoriui.</x:v>
      </x:c>
      <x:c r="G9" s="2"/>
      <x:c r="H9" s="2"/>
      <x:c r="I9" s="2"/>
      <x:c r="J9" s="2"/>
      <x:c r="K9" s="2"/>
      <x:c r="L9" s="2"/>
    </x:row>
    <x:row r="10" ht="24" customHeight="1">
      <x:c r="C10" s="2" t="str">
        <x:v>Pakavimo medžiagos nuo, vieša bazė</x:v>
      </x:c>
      <x:c r="D10" s="10" t="n">
        <x:v>0.48</x:v>
      </x:c>
      <x:c r="E10" s="2"/>
      <x:c r="F10" s="2" t="str">
        <x:v>Sandėliavimas: viešai nurodytas mažiausiai 1 m³ per mėnesį.</x:v>
      </x:c>
      <x:c r="G10" s="2"/>
      <x:c r="H10" s="2"/>
      <x:c r="I10" s="2"/>
      <x:c r="J10" s="2"/>
      <x:c r="K10" s="2"/>
      <x:c r="L10" s="2"/>
    </x:row>
    <x:row r="11" ht="24" customHeight="1">
      <x:c r="C11" s="2" t="str">
        <x:v>DE kurjeris / užsakymui (prielaida)</x:v>
      </x:c>
      <x:c r="D11" s="10" t="n">
        <x:v>4.5</x:v>
      </x:c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C12" s="2" t="str">
        <x:v>Sandėliavimo tarifas / m³ / mėn.</x:v>
      </x:c>
      <x:c r="D12" s="10" t="n">
        <x:v>22.9</x:v>
      </x:c>
      <x:c r="E12" s="2"/>
      <x:c r="F12" s="2" t="str">
        <x:v>LT gamybos ir rinkinio dėžės kaštai jau savikainoje; jų nedubliuojame.</x:v>
      </x:c>
      <x:c r="G12" s="2"/>
      <x:c r="H12" s="2"/>
      <x:c r="I12" s="2"/>
      <x:c r="J12" s="2"/>
      <x:c r="K12" s="2"/>
      <x:c r="L12" s="2"/>
    </x:row>
    <x:row r="13" ht="24" customHeight="1">
      <x:c r="C13" s="2" t="str">
        <x:v>Mažiausias apmokestinamas tūris, m³</x:v>
      </x:c>
      <x:c r="D13" s="10" t="n">
        <x:v>1</x:v>
      </x:c>
      <x:c r="E13" s="2"/>
      <x:c r="F13" s="2" t="str">
        <x:v>3PL papildomas paruošimas ir transportinė pakuotė yra kiti kaštai.</x:v>
      </x:c>
      <x:c r="G13" s="2"/>
      <x:c r="H13" s="2"/>
      <x:c r="I13" s="2"/>
      <x:c r="J13" s="2"/>
      <x:c r="K13" s="2"/>
      <x:c r="L13" s="2"/>
    </x:row>
    <x:row r="14" ht="24" customHeight="1">
      <x:c r="C14" s="2" t="str">
        <x:v>Vidutinė laikoma atsarga (prielaida)</x:v>
      </x:c>
      <x:c r="D14" s="27" t="n">
        <x:v>20</x:v>
      </x:c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C15" s="2" t="str">
        <x:v>Vieno supakuoto poros rinkinio tūris, m³</x:v>
      </x:c>
      <x:c r="D15" s="29" t="n">
        <x:f>J23*K23*L23</x:f>
        <x:v>0.006800000000000002</x:v>
      </x:c>
      <x:c r="E15" s="2"/>
      <x:c r="F15" s="2" t="str">
        <x:v>Mokesčiai čia neto; neatskaitomas tiekėjo PVM gali padidinti sąnaudas.</x:v>
      </x:c>
      <x:c r="G15" s="2"/>
      <x:c r="H15" s="2"/>
      <x:c r="I15" s="2"/>
      <x:c r="J15" s="2"/>
      <x:c r="K15" s="2"/>
      <x:c r="L15" s="2"/>
    </x:row>
    <x:row r="16" ht="24" customHeight="1">
      <x:c r="C16" s="2" t="str">
        <x:v>Mėnesio sandėliavimo sąnaudos</x:v>
      </x:c>
      <x:c r="D16" s="7" t="n">
        <x:f>MAX(D13,D14*D15)*D12</x:f>
        <x:v>22.9</x:v>
      </x:c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C17" s="2" t="str">
        <x:v>PVM / administravimas per mėn. (prielaida)</x:v>
      </x:c>
      <x:c r="D17" s="10" t="n">
        <x:v>50</x:v>
      </x:c>
      <x:c r="E17" s="2"/>
      <x:c r="F17" s="2" t="str">
        <x:v>Pavyzdys neapima vienkartinio API / mokesčių registravimo parengimo.</x:v>
      </x:c>
      <x:c r="G17" s="2"/>
      <x:c r="H17" s="2"/>
      <x:c r="I17" s="2"/>
      <x:c r="J17" s="2"/>
      <x:c r="K17" s="2"/>
      <x:c r="L17" s="2"/>
    </x:row>
    <x:row r="18" ht="24" customHeight="1">
      <x:c r="C18" s="2" t="str">
        <x:v>Sistemos mokestis per mėn. (vieša bazė)</x:v>
      </x:c>
      <x:c r="D18" s="10" t="n">
        <x:v>0</x:v>
      </x:c>
      <x:c r="E18" s="2"/>
      <x:c r="F18" s="2" t="str">
        <x:v>Vienas DE sandėlis nėra patvirtintas 4 d. d. pristatymas visai Europai.</x:v>
      </x:c>
      <x:c r="G18" s="2"/>
      <x:c r="H18" s="2"/>
      <x:c r="I18" s="2"/>
      <x:c r="J18" s="2"/>
      <x:c r="K18" s="2"/>
      <x:c r="L18" s="2"/>
    </x:row>
    <x:row r="19" ht="24" customHeight="1">
      <x:c r="C19" s="2" t="str">
        <x:v>LT kurjeris / užsakymui (prielaida)</x:v>
      </x:c>
      <x:c r="D19" s="10" t="n">
        <x:v>9</x:v>
      </x:c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C20" s="2" t="str">
        <x:v>LT užsakymo paruošimas virš gamybos</x:v>
      </x:c>
      <x:c r="D20" s="10" t="n">
        <x:v>0.5</x:v>
      </x:c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C21" s="2" t="str">
        <x:v>Neto įplaukos už pristatymą (prielaida)</x:v>
      </x:c>
      <x:c r="D21" s="10" t="n">
        <x:v>4</x:v>
      </x:c>
      <x:c r="E21" s="2"/>
      <x:c r="F21" s="2"/>
      <x:c r="G21" s="2"/>
      <x:c r="H21" s="2"/>
      <x:c r="I21" s="2"/>
      <x:c r="J21" s="2"/>
      <x:c r="K21" s="2"/>
      <x:c r="L21" s="2"/>
    </x:row>
    <x:row r="22" ht="36" customHeight="1">
      <x:c r="C22" s="2" t="str">
        <x:v>Atvežimas vienam rinkiniui</x:v>
      </x:c>
      <x:c r="D22" s="7" t="n">
        <x:f>D7/D5</x:f>
        <x:v>2</x:v>
      </x:c>
      <x:c r="E22" s="2"/>
      <x:c r="F22" s="2"/>
      <x:c r="G22" s="2"/>
      <x:c r="H22" s="2"/>
      <x:c r="I22" s="2"/>
      <x:c r="J22" s="6" t="str">
        <x:v>Plotis, m</x:v>
      </x:c>
      <x:c r="K22" s="6" t="str">
        <x:v>Ilgis, m</x:v>
      </x:c>
      <x:c r="L22" s="6" t="str">
        <x:v>Aukštis, m</x:v>
      </x:c>
    </x:row>
    <x:row r="23" ht="24" customHeight="1">
      <x:c r="C23" s="2" t="str">
        <x:v>DE kintamos logistikos sąnaudos / vnt.</x:v>
      </x:c>
      <x:c r="D23" s="7" t="n">
        <x:f>SUM(D8:D11)+D22</x:f>
        <x:v>9.07</x:v>
      </x:c>
      <x:c r="E23" s="2"/>
      <x:c r="F23" s="2"/>
      <x:c r="G23" s="2"/>
      <x:c r="H23" s="2"/>
      <x:c r="I23" s="2"/>
      <x:c r="J23" s="31" t="n">
        <x:v>0.2</x:v>
      </x:c>
      <x:c r="K23" s="31" t="n">
        <x:v>0.2</x:v>
      </x:c>
      <x:c r="L23" s="31" t="n">
        <x:v>0.17</x:v>
      </x:c>
    </x:row>
    <x:row r="24" ht="24" customHeight="1">
      <x:c r="C24" s="2" t="str">
        <x:v>DE fiksuotos logistikos sąnaudos / mėn.</x:v>
      </x:c>
      <x:c r="D24" s="7" t="n">
        <x:f>D16+D17+D18</x:f>
        <x:v>72.9</x:v>
      </x:c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C25" s="16" t="str">
        <x:v>DE visa logistika vienam užsakymui</x:v>
      </x:c>
      <x:c r="D25" s="17" t="n">
        <x:f>D23+D24/D6</x:f>
        <x:v>12.715</x:v>
      </x:c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C26" s="16" t="str">
        <x:v>LT logistika vienam užsakymui</x:v>
      </x:c>
      <x:c r="D26" s="17" t="n">
        <x:f>D19+D20</x:f>
        <x:v>9.5</x:v>
      </x:c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C27" s="16" t="str">
        <x:v>LT minus DE, vieno užsakymo skirtumas</x:v>
      </x:c>
      <x:c r="D27" s="17" t="n">
        <x:f>D26-D25</x:f>
        <x:v>-3.215</x:v>
      </x:c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C28" s="16" t="str">
        <x:v>DE atsipirkimo kiekis per mėnesį</x:v>
      </x:c>
      <x:c r="D28" s="30" t="n">
        <x:f>IF(D26&gt;D23,ROUNDUP(D24/(D26-D23),0),"Neatsiperka vien dėl kaštų")</x:f>
        <x:v>170</x:v>
      </x:c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32" customHeight="1">
      <x:c r="C31" s="3" t="str">
        <x:v>Poros pardavimo likutis po logistikos</x:v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6" customHeight="1">
      <x:c r="C33" s="6" t="str">
        <x:v>Rodiklis</x:v>
      </x:c>
      <x:c r="D33" s="6" t="str">
        <x:v>Siunčiant iš LT</x:v>
      </x:c>
      <x:c r="E33" s="6" t="str">
        <x:v>DE 3PL</x:v>
      </x:c>
      <x:c r="F33" s="2"/>
      <x:c r="G33" s="2"/>
      <x:c r="H33" s="2"/>
      <x:c r="I33" s="2"/>
      <x:c r="J33" s="2"/>
      <x:c r="K33" s="2"/>
      <x:c r="L33" s="2"/>
    </x:row>
    <x:row r="34" ht="24" customHeight="1">
      <x:c r="C34" s="2" t="str">
        <x:v>Likutis po CAC, prieš pristatymą</x:v>
      </x:c>
      <x:c r="D34" s="7" t="n">
        <x:f>'Kainodara'!G27-'Kainodara'!G28</x:f>
        <x:v>15.070714876033058</x:v>
      </x:c>
      <x:c r="E34" s="7" t="n">
        <x:f>D34</x:f>
        <x:v>15.070714876033058</x:v>
      </x:c>
      <x:c r="F34" s="2"/>
      <x:c r="G34" s="2" t="str">
        <x:v>Kaina ir PVM / CAC / rezervas imami iš Kainodara 44,90 EUR varianto.</x:v>
      </x:c>
      <x:c r="H34" s="2"/>
      <x:c r="I34" s="2"/>
      <x:c r="J34" s="2"/>
      <x:c r="K34" s="2"/>
      <x:c r="L34" s="2"/>
    </x:row>
    <x:row r="35" ht="24" customHeight="1">
      <x:c r="C35" s="2" t="str">
        <x:v>Logistika minus neto pristatymo įplaukos</x:v>
      </x:c>
      <x:c r="D35" s="7" t="n">
        <x:f>D26-D21</x:f>
        <x:v>5.5</x:v>
      </x:c>
      <x:c r="E35" s="7" t="n">
        <x:f>D25-D21</x:f>
        <x:v>8.715</x:v>
      </x:c>
      <x:c r="F35" s="2"/>
      <x:c r="G35" s="2" t="str">
        <x:v>PVM procentą keisti konkrečiai rinkai; čia vienodos augimo prielaidos.</x:v>
      </x:c>
      <x:c r="H35" s="2"/>
      <x:c r="I35" s="2"/>
      <x:c r="J35" s="2"/>
      <x:c r="K35" s="2"/>
      <x:c r="L35" s="2"/>
    </x:row>
    <x:row r="36" ht="24" customHeight="1">
      <x:c r="C36" s="16" t="str">
        <x:v>Likutis po logistikos</x:v>
      </x:c>
      <x:c r="D36" s="17" t="n">
        <x:f>D34-D35</x:f>
        <x:v>9.570714876033058</x:v>
      </x:c>
      <x:c r="E36" s="17" t="n">
        <x:f>E34-E35</x:f>
        <x:v>6.355714876033058</x:v>
      </x:c>
      <x:c r="F36" s="2"/>
      <x:c r="G36" s="2"/>
      <x:c r="H36" s="2"/>
      <x:c r="I36" s="2"/>
      <x:c r="J36" s="2"/>
      <x:c r="K36" s="2"/>
      <x:c r="L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32" customHeight="1">
      <x:c r="C40" s="3" t="str">
        <x:v>4 darbo dienų priėmimo kriterijus</x:v>
      </x:c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C42" s="2" t="str">
        <x:v>Bendras laikas = apmokėjimo / paruošimo laukimas + perdavimas + tranzitas.</x:v>
      </x:c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C43" s="2" t="str">
        <x:v>Šalies, pašto kodo, darbo laiko ir švenčių kalendoriai turi būti tikri.</x:v>
      </x:c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C44" s="2" t="str">
        <x:v>DPD LT: įprastas paėmimas kitą darbo dieną, paėmimo diena – 0.</x:v>
      </x:c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C45" s="2" t="str">
        <x:v>https://www.dpd.com/lt/lt/pagalba/naudingi-patarimai/pristatymo-terminai/</x:v>
      </x:c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C46" s="2" t="str">
        <x:v>StartFill vieša bazė: išsiuntimas per 1–2 d. d.; tai nėra galutinis pristatymas.</x:v>
      </x:c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C47" s="2" t="str">
        <x:v>Nerodyti visai ES vienodo 4 d. d. pažado be patikrintų maršrutų.</x:v>
      </x:c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C49" s="2" t="str">
        <x:v>Atsargų papildymas: pardavimai per dieną × papildymo laikas + saugos atsarga.</x:v>
      </x:c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C50" s="2" t="str">
        <x:v>20 rinkinių prie 5 pardavimų per dieną užtenka tik 4 dienoms.</x:v>
      </x:c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C52" s="2" t="str">
        <x:v>Automatika: patvirtintas paid → atsargos → vienas 3PL užsakymas → tracking.</x:v>
      </x:c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C53" s="2" t="str">
        <x:v>Browser sėkmės langas ar Stripe Session sukūrimas nėra apmokėjimo įrodymas.</x:v>
      </x:c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C54" s="2" t="str">
        <x:v>API timeout atveju pirma tikrinti originalų užsakymą; nedubliuoti siuntimo.</x:v>
      </x:c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C55" s="2" t="str">
        <x:v>3PL užsakymui papildomai nekurti LT Sendparcel siuntos.</x:v>
      </x:c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C57" s="2" t="str">
        <x:v>ES ir UK / Šveicariją vertinti atskirai dėl muitinės ir mokesčių.</x:v>
      </x:c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C58" s="2" t="str">
        <x:v>Šis modelis neaktyvavo sandėlio, API, sutarties, atsargų perkėlimo ar siuntos.</x:v>
      </x:c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</x:sheetData>
  <x:pageMargins left="0.7" right="0.7" top="0.75" bottom="0.75" header="0.3" footer="0.3"/>
</x:worksheet>
</file>